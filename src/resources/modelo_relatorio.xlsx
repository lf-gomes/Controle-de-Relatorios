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conta\OneDrive\Documentos\NetBeansProjects\ControleDeRelaorios\"/>
    </mc:Choice>
  </mc:AlternateContent>
  <xr:revisionPtr revIDLastSave="0" documentId="13_ncr:1_{D6C9C0C2-643D-455F-9A52-A38EEA9FF75E}" xr6:coauthVersionLast="47" xr6:coauthVersionMax="47" xr10:uidLastSave="{00000000-0000-0000-0000-000000000000}"/>
  <bookViews>
    <workbookView xWindow="-120" yWindow="-120" windowWidth="20730" windowHeight="11040" firstSheet="5" activeTab="7" xr2:uid="{C5CE09E8-F775-4DBD-A257-8E706B630103}"/>
  </bookViews>
  <sheets>
    <sheet name="Config" sheetId="8" state="hidden" r:id="rId1"/>
    <sheet name="ago 25" sheetId="1" r:id="rId2"/>
    <sheet name="set 25" sheetId="2" r:id="rId3"/>
    <sheet name="out 25" sheetId="3" r:id="rId4"/>
    <sheet name="nov 25" sheetId="4" r:id="rId5"/>
    <sheet name="dez 25" sheetId="5" r:id="rId6"/>
    <sheet name="jan 26" sheetId="7" r:id="rId7"/>
    <sheet name="fev 26" sheetId="9" r:id="rId8"/>
  </sheets>
  <definedNames>
    <definedName name="_xlnm.Print_Titles" localSheetId="7">'fev 26'!$2:$2</definedName>
    <definedName name="_xlnm.Print_Titles" localSheetId="6">'jan 26'!$2:$2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9" l="1"/>
  <c r="C29" i="9" s="1"/>
  <c r="C25" i="9" a="1"/>
  <c r="C25" i="9" s="1"/>
  <c r="C23" i="9"/>
  <c r="C22" i="9"/>
  <c r="C21" i="9" a="1"/>
  <c r="C21" i="9" s="1"/>
  <c r="C26" i="9"/>
  <c r="C27" i="9"/>
  <c r="C24" i="9"/>
  <c r="C14" i="9"/>
  <c r="C9" i="9"/>
  <c r="C119" i="7" a="1"/>
  <c r="C119" i="7" s="1"/>
  <c r="C118" i="7"/>
  <c r="C114" i="7" a="1"/>
  <c r="C114" i="7" s="1"/>
  <c r="C83" i="7"/>
  <c r="C122" i="7"/>
  <c r="C121" i="7"/>
  <c r="C115" i="7"/>
  <c r="C116" i="7"/>
  <c r="C105" i="7"/>
  <c r="B80" i="5"/>
  <c r="C79" i="5"/>
  <c r="C102" i="5"/>
  <c r="B102" i="5"/>
  <c r="D100" i="5" s="1"/>
  <c r="C80" i="4"/>
  <c r="B80" i="4"/>
  <c r="C102" i="4"/>
  <c r="B102" i="4"/>
  <c r="C108" i="3"/>
  <c r="C103" i="3"/>
  <c r="C76" i="3"/>
  <c r="B76" i="3"/>
  <c r="B103" i="3"/>
  <c r="D101" i="2"/>
  <c r="C101" i="2"/>
  <c r="C75" i="2"/>
  <c r="C75" i="1"/>
  <c r="D106" i="1"/>
  <c r="C101" i="1"/>
  <c r="D101" i="1"/>
  <c r="E74" i="1"/>
  <c r="D74" i="1"/>
  <c r="C125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<sst xmlns="http://schemas.openxmlformats.org/spreadsheetml/2006/main" count="1091" uniqueCount="191">
  <si>
    <t xml:space="preserve">Nome </t>
  </si>
  <si>
    <t>trabalhou</t>
  </si>
  <si>
    <t>estudos</t>
  </si>
  <si>
    <t>horas</t>
  </si>
  <si>
    <t>publicadores</t>
  </si>
  <si>
    <t>pioneiros regulares</t>
  </si>
  <si>
    <t>grupo 1</t>
  </si>
  <si>
    <t>Alberto Nazare</t>
  </si>
  <si>
    <t>Antonia Barreto</t>
  </si>
  <si>
    <t>Elvira do Socorro</t>
  </si>
  <si>
    <t>Gabriela Durães</t>
  </si>
  <si>
    <t>Gabriela Santos</t>
  </si>
  <si>
    <t>Giselva Maria Galúcio Avelino</t>
  </si>
  <si>
    <t>Magda Durães</t>
  </si>
  <si>
    <t>Rosineide</t>
  </si>
  <si>
    <t>Walter Durães</t>
  </si>
  <si>
    <t>grupo 2</t>
  </si>
  <si>
    <t>Sophia Durães</t>
  </si>
  <si>
    <t>Alair Andrade Durães</t>
  </si>
  <si>
    <t>Argélia Salas Reyes</t>
  </si>
  <si>
    <t>Célio Michelon</t>
  </si>
  <si>
    <t>Celivane Sousa Costa</t>
  </si>
  <si>
    <t>Elivelton Castro Pereira</t>
  </si>
  <si>
    <t>Ismael Pinto</t>
  </si>
  <si>
    <t>Jercilene Canto Reis</t>
  </si>
  <si>
    <t>Juan Andrés Gutierrez Gomes</t>
  </si>
  <si>
    <t>Juliana Canto Reis</t>
  </si>
  <si>
    <t>Leyla Patrícia Michelon</t>
  </si>
  <si>
    <t>Marcos Reis jr.</t>
  </si>
  <si>
    <t>Maria Colares</t>
  </si>
  <si>
    <t>Sebastiana Pinto da Fonseca</t>
  </si>
  <si>
    <t>Waldívia Pinto</t>
  </si>
  <si>
    <t>Cleverson Gomes</t>
  </si>
  <si>
    <t>Grupo 3</t>
  </si>
  <si>
    <t>Antónia Mota Mesquita</t>
  </si>
  <si>
    <t>Cidna M. Miranda</t>
  </si>
  <si>
    <t>Edna da Silva Coelho</t>
  </si>
  <si>
    <t>Francisca Portela (Francinete)</t>
  </si>
  <si>
    <t>Laila da Costa</t>
  </si>
  <si>
    <t>Luis Fernando Mesquita</t>
  </si>
  <si>
    <t>Marcel Lobo</t>
  </si>
  <si>
    <t>Maria Fernanda</t>
  </si>
  <si>
    <t>Maria Figueira</t>
  </si>
  <si>
    <t>Paulo Renato</t>
  </si>
  <si>
    <t>Pedro Barbosa</t>
  </si>
  <si>
    <t>Rita Melo</t>
  </si>
  <si>
    <t>Tereza Monteiro</t>
  </si>
  <si>
    <t>Grupo 4</t>
  </si>
  <si>
    <t>Adriano Souza Mota</t>
  </si>
  <si>
    <t>Albert Lima</t>
  </si>
  <si>
    <t>Aldenor Lima</t>
  </si>
  <si>
    <t>Alzira Lago</t>
  </si>
  <si>
    <t>Amanda Souza da Mota</t>
  </si>
  <si>
    <t>Ana Rita Gazineu</t>
  </si>
  <si>
    <t>Fabíola Viana</t>
  </si>
  <si>
    <t>Iracene Mota</t>
  </si>
  <si>
    <t>João Marcos Wonghan</t>
  </si>
  <si>
    <t>Ana Ilsilene Wonghan</t>
  </si>
  <si>
    <t>João Stélio Albuquerque</t>
  </si>
  <si>
    <t>grupo 5</t>
  </si>
  <si>
    <t>Geni Ferreira</t>
  </si>
  <si>
    <t>Isabele Pereira</t>
  </si>
  <si>
    <t>Luis Fernando Gomes</t>
  </si>
  <si>
    <t>Maria Luiza Neres</t>
  </si>
  <si>
    <t>Pietra Gomes de Jesus</t>
  </si>
  <si>
    <t>Valdilene Gomes de Jesus</t>
  </si>
  <si>
    <t>Gisele Barroso</t>
  </si>
  <si>
    <t>Rodrigo Barroso</t>
  </si>
  <si>
    <t>Ronald Santos Sarmento</t>
  </si>
  <si>
    <t>Marcos Reis (pai)</t>
  </si>
  <si>
    <t>Allana Torres</t>
  </si>
  <si>
    <t>André Almeida</t>
  </si>
  <si>
    <t>Armando Barreto</t>
  </si>
  <si>
    <t>Bryan Perez Gomez</t>
  </si>
  <si>
    <t>Claudio Nunes da Silveira</t>
  </si>
  <si>
    <t>Elizabeth Lima</t>
  </si>
  <si>
    <t>Filipe Pinheiro de Souza</t>
  </si>
  <si>
    <t>Jussyana Souza</t>
  </si>
  <si>
    <t>Keilena Melo</t>
  </si>
  <si>
    <t>Lia Mara da Costa</t>
  </si>
  <si>
    <t>Ligia Salas</t>
  </si>
  <si>
    <t>Lucas Viana</t>
  </si>
  <si>
    <t>Luciano Michelon</t>
  </si>
  <si>
    <t>Marivalda Dias Barreto</t>
  </si>
  <si>
    <t>Mercedes Gutierrez</t>
  </si>
  <si>
    <t>Sónia Amorim</t>
  </si>
  <si>
    <t>Sthefany Lima</t>
  </si>
  <si>
    <t>Suzane Avelino Almeida</t>
  </si>
  <si>
    <t>Suyane Avelino da Silveira</t>
  </si>
  <si>
    <t>Valdir Melo</t>
  </si>
  <si>
    <t>Vilma Durães</t>
  </si>
  <si>
    <t>missionários</t>
  </si>
  <si>
    <t>Steffen Gebhardt</t>
  </si>
  <si>
    <t>Elizabeth Pereira Gebhardt</t>
  </si>
  <si>
    <t>ok</t>
  </si>
  <si>
    <t>Elias Gutierrez</t>
  </si>
  <si>
    <t>PA</t>
  </si>
  <si>
    <t>horas PR</t>
  </si>
  <si>
    <t>15h VTM</t>
  </si>
  <si>
    <t>Observações</t>
  </si>
  <si>
    <t>Ana Isaíres Pereira</t>
  </si>
  <si>
    <t xml:space="preserve"> </t>
  </si>
  <si>
    <t xml:space="preserve">ok </t>
  </si>
  <si>
    <t>Elen Rocha</t>
  </si>
  <si>
    <t>irregular</t>
  </si>
  <si>
    <t>António Tauíris Amorim</t>
  </si>
  <si>
    <t>16 h de credito</t>
  </si>
  <si>
    <t>numero de publicadores</t>
  </si>
  <si>
    <t>estudos publicadores</t>
  </si>
  <si>
    <t>numero de pioneiros auxiliares</t>
  </si>
  <si>
    <t>estudos pioneiros auxiliares</t>
  </si>
  <si>
    <t>numero de pioneiros regulares</t>
  </si>
  <si>
    <t>estudos pioneiros regulares</t>
  </si>
  <si>
    <t>media assistencia reuniões fim de semana</t>
  </si>
  <si>
    <t>horas total pioneiros auxiliares</t>
  </si>
  <si>
    <t>16 h de crédito</t>
  </si>
  <si>
    <t>16h de crédito</t>
  </si>
  <si>
    <t>16 de crédito</t>
  </si>
  <si>
    <t>horas PR, PA</t>
  </si>
  <si>
    <t>não relatou</t>
  </si>
  <si>
    <t>Totais pioneiros regulares</t>
  </si>
  <si>
    <t>ok              15</t>
  </si>
  <si>
    <t>total estudos (com missionários)</t>
  </si>
  <si>
    <t>número de publicadores</t>
  </si>
  <si>
    <t>numero de publicadores relatando</t>
  </si>
  <si>
    <t>Grupo 1</t>
  </si>
  <si>
    <t>Grupo 2</t>
  </si>
  <si>
    <t>Grupo 5</t>
  </si>
  <si>
    <t>Pioneiros regulares</t>
  </si>
  <si>
    <t>Missionarios</t>
  </si>
  <si>
    <t>12 horas na reforma de Alenquer</t>
  </si>
  <si>
    <t>Heloiza Coêlho</t>
  </si>
  <si>
    <t>Antónia Mesquita</t>
  </si>
  <si>
    <t>Edna Coelho</t>
  </si>
  <si>
    <t>Luis Fernando Miranda</t>
  </si>
  <si>
    <t>Maria Fernanda Miranda</t>
  </si>
  <si>
    <t>Adriano Mota</t>
  </si>
  <si>
    <t>Bryan Gomez</t>
  </si>
  <si>
    <t>Marivalda Barreto</t>
  </si>
  <si>
    <t>Laila da Costa Barbosa</t>
  </si>
  <si>
    <t>0k</t>
  </si>
  <si>
    <t>18h credito</t>
  </si>
  <si>
    <t>35h credito</t>
  </si>
  <si>
    <t>problemas de saúde</t>
  </si>
  <si>
    <t>dissociou-se</t>
  </si>
  <si>
    <t>construção 20h (nao conta s-236)</t>
  </si>
  <si>
    <t>Total estudos (com missionários)</t>
  </si>
  <si>
    <t>Alana Torres</t>
  </si>
  <si>
    <t>40h construção</t>
  </si>
  <si>
    <t>Eliame Coêlho</t>
  </si>
  <si>
    <t>Edna Coêlho</t>
  </si>
  <si>
    <t>Laura Coêlho</t>
  </si>
  <si>
    <t>16h LDC, contam 5h</t>
  </si>
  <si>
    <t>15h COLIH</t>
  </si>
  <si>
    <t>2h, secretária COLIH</t>
  </si>
  <si>
    <t>inativa</t>
  </si>
  <si>
    <t>Socorro Leite</t>
  </si>
  <si>
    <t>10h LDC</t>
  </si>
  <si>
    <t>15h trabalhos aprovados</t>
  </si>
  <si>
    <t>12h trabalhos aprovados</t>
  </si>
  <si>
    <t>8h  LDC</t>
  </si>
  <si>
    <t>Elen Alvez</t>
  </si>
  <si>
    <t>Juan Gutierrez</t>
  </si>
  <si>
    <t>Argelia Salas Reyes</t>
  </si>
  <si>
    <t>Nara Rayane</t>
  </si>
  <si>
    <t>Alair Durães</t>
  </si>
  <si>
    <t>Jercilene Reis</t>
  </si>
  <si>
    <t>Juliana Pereira</t>
  </si>
  <si>
    <t>Elivelton Pereira</t>
  </si>
  <si>
    <t>Ricardo Cárdenas</t>
  </si>
  <si>
    <t>Shirley Cárdenas</t>
  </si>
  <si>
    <t>Estudos</t>
  </si>
  <si>
    <t>Trabalhou</t>
  </si>
  <si>
    <t>Horas totais pioneiros auxiliares</t>
  </si>
  <si>
    <t>Publicadores</t>
  </si>
  <si>
    <t>Publicadores relatando</t>
  </si>
  <si>
    <t>Estudos publicadores</t>
  </si>
  <si>
    <t>Pioneiros auxiliares</t>
  </si>
  <si>
    <t>Estudos pioneiros auxiliares</t>
  </si>
  <si>
    <t>Estudos pioneiros regulares</t>
  </si>
  <si>
    <t>Número de</t>
  </si>
  <si>
    <t>Resumo</t>
  </si>
  <si>
    <t>Relatou?</t>
  </si>
  <si>
    <t>Gláucia Silveira Sarmento</t>
  </si>
  <si>
    <t>Configurações</t>
  </si>
  <si>
    <t>Alberth Antony Lima</t>
  </si>
  <si>
    <t>Isaires</t>
  </si>
  <si>
    <t>Sonia Amorim</t>
  </si>
  <si>
    <t>não</t>
  </si>
  <si>
    <t>16h LDC</t>
  </si>
  <si>
    <t>(Dados)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</si>
</sst>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&quot;h&quot;"/>
  </numFmts>
  <fonts count="11" x14ac:knownFonts="1">
    <font>
      <sz val="11"/>
      <color theme="1"/>
      <name val="Calibri"/>
      <family val="2"/>
      <scheme val="minor"/>
    </font>
    <font>
      <b/>
      <sz val="12"/>
      <color rgb="FF7F3F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7F3F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5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Protection="1">
      <protection locked="0"/>
    </xf>
    <xf numFmtId="0" fontId="6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left"/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left"/>
      <protection locked="0"/>
    </xf>
    <xf numFmtId="0" fontId="0" fillId="0" borderId="1" xfId="0" applyBorder="1" applyProtection="1">
      <protection locked="0"/>
    </xf>
    <xf numFmtId="0" fontId="5" fillId="0" borderId="0" xfId="0" applyFont="1" applyAlignment="1" applyProtection="1">
      <alignment horizontal="left"/>
      <protection locked="0"/>
    </xf>
    <xf numFmtId="164" fontId="0" fillId="0" borderId="0" xfId="0" applyNumberFormat="1" applyProtection="1">
      <protection locked="0"/>
    </xf>
    <xf numFmtId="0" fontId="5" fillId="0" borderId="0" xfId="0" applyFont="1" applyProtection="1">
      <protection locked="0"/>
    </xf>
    <xf numFmtId="0" fontId="0" fillId="2" borderId="0" xfId="0" applyFill="1" applyProtection="1">
      <protection locked="0"/>
    </xf>
    <xf numFmtId="0" fontId="2" fillId="2" borderId="0" xfId="0" applyFont="1" applyFill="1" applyProtection="1">
      <protection locked="0"/>
    </xf>
    <xf numFmtId="0" fontId="7" fillId="0" borderId="0" xfId="0" applyFont="1" applyProtection="1">
      <protection locked="0"/>
    </xf>
    <xf numFmtId="0" fontId="6" fillId="0" borderId="0" xfId="0" applyFont="1" applyProtection="1">
      <protection locked="0"/>
    </xf>
    <xf numFmtId="0" fontId="8" fillId="0" borderId="0" xfId="0" applyFont="1"/>
    <xf numFmtId="0" fontId="8" fillId="0" borderId="0" xfId="0" applyFont="1" applyAlignment="1">
      <alignment horizontal="left"/>
    </xf>
    <xf numFmtId="0" fontId="0" fillId="0" borderId="0" xfId="0" applyAlignment="1" applyProtection="1">
      <alignment horizontal="right"/>
      <protection locked="0"/>
    </xf>
    <xf numFmtId="0" fontId="6" fillId="0" borderId="0" xfId="0" applyFont="1" applyAlignment="1" applyProtection="1">
      <alignment horizontal="right"/>
      <protection locked="0"/>
    </xf>
    <xf numFmtId="0" fontId="2" fillId="0" borderId="0" xfId="0" applyFont="1" applyAlignment="1" applyProtection="1">
      <alignment horizontal="right"/>
      <protection locked="0"/>
    </xf>
    <xf numFmtId="0" fontId="0" fillId="0" borderId="1" xfId="0" applyBorder="1" applyAlignment="1" applyProtection="1">
      <alignment horizontal="right"/>
      <protection locked="0"/>
    </xf>
    <xf numFmtId="0" fontId="5" fillId="2" borderId="0" xfId="0" applyFont="1" applyFill="1" applyAlignment="1" applyProtection="1">
      <alignment horizontal="left"/>
      <protection locked="0"/>
    </xf>
    <xf numFmtId="0" fontId="0" fillId="2" borderId="0" xfId="0" applyFill="1"/>
    <xf numFmtId="0" fontId="5" fillId="2" borderId="0" xfId="0" applyFont="1" applyFill="1" applyProtection="1">
      <protection locked="0"/>
    </xf>
    <xf numFmtId="0" fontId="9" fillId="0" borderId="0" xfId="0" applyFont="1" applyAlignment="1" applyProtection="1">
      <alignment horizontal="right"/>
      <protection locked="0"/>
    </xf>
    <xf numFmtId="0" fontId="5" fillId="2" borderId="2" xfId="0" applyFont="1" applyFill="1" applyBorder="1" applyProtection="1">
      <protection locked="0"/>
    </xf>
    <xf numFmtId="0" fontId="0" fillId="2" borderId="2" xfId="0" applyFill="1" applyBorder="1" applyProtection="1">
      <protection locked="0"/>
    </xf>
    <xf numFmtId="0" fontId="0" fillId="2" borderId="2" xfId="0" applyFill="1" applyBorder="1"/>
    <xf numFmtId="0" fontId="7" fillId="0" borderId="0" xfId="0" applyFont="1" applyAlignment="1" applyProtection="1">
      <alignment horizontal="center"/>
      <protection locked="0"/>
    </xf>
    <xf numFmtId="0" fontId="7" fillId="0" borderId="1" xfId="0" applyFont="1" applyBorder="1" applyAlignment="1" applyProtection="1">
      <alignment horizontal="center"/>
      <protection locked="0"/>
    </xf>
    <xf numFmtId="0" fontId="2" fillId="0" borderId="0" xfId="0" applyFont="1" applyAlignment="1">
      <alignment horizontal="center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/>
    <xf numFmtId="0" fontId="10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7FA1E-C9EC-4000-8951-0A741B487EAB}">
  <sheetPr codeName="Planilha1"/>
  <dimension ref="B2:I23"/>
  <sheetViews>
    <sheetView workbookViewId="0">
      <selection activeCell="B1" sqref="B1:B1048576"/>
    </sheetView>
  </sheetViews>
  <sheetFormatPr defaultRowHeight="15" x14ac:dyDescent="0.25"/>
  <sheetData>
    <row r="2" spans="2:9" ht="15.75" x14ac:dyDescent="0.25">
      <c r="D2" s="38" t="s">
        <v>184</v>
      </c>
      <c r="E2" s="38"/>
      <c r="F2" s="38"/>
      <c r="G2" s="38"/>
      <c r="H2" s="38"/>
      <c r="I2" s="38"/>
    </row>
    <row r="4" spans="2:9" x14ac:dyDescent="0.25">
      <c r="B4" s="23" t="s">
        <v>0</v>
      </c>
    </row>
    <row r="5" spans="2:9" x14ac:dyDescent="0.25">
      <c r="B5" s="23" t="s">
        <v>125</v>
      </c>
    </row>
    <row r="6" spans="2:9" x14ac:dyDescent="0.25">
      <c r="B6" s="23" t="s">
        <v>126</v>
      </c>
    </row>
    <row r="7" spans="2:9" x14ac:dyDescent="0.25">
      <c r="B7" s="23" t="s">
        <v>33</v>
      </c>
    </row>
    <row r="8" spans="2:9" x14ac:dyDescent="0.25">
      <c r="B8" s="23" t="s">
        <v>47</v>
      </c>
    </row>
    <row r="9" spans="2:9" x14ac:dyDescent="0.25">
      <c r="B9" s="23" t="s">
        <v>127</v>
      </c>
    </row>
    <row r="10" spans="2:9" x14ac:dyDescent="0.25">
      <c r="B10" s="24" t="s">
        <v>173</v>
      </c>
    </row>
    <row r="11" spans="2:9" x14ac:dyDescent="0.25">
      <c r="B11" s="23" t="s">
        <v>120</v>
      </c>
    </row>
    <row r="12" spans="2:9" x14ac:dyDescent="0.25">
      <c r="B12" s="23" t="s">
        <v>129</v>
      </c>
    </row>
    <row r="13" spans="2:9" x14ac:dyDescent="0.25">
      <c r="B13" s="23" t="s">
        <v>180</v>
      </c>
    </row>
    <row r="14" spans="2:9" x14ac:dyDescent="0.25">
      <c r="B14" s="23" t="s">
        <v>174</v>
      </c>
    </row>
    <row r="15" spans="2:9" x14ac:dyDescent="0.25">
      <c r="B15" s="23" t="s">
        <v>175</v>
      </c>
    </row>
    <row r="16" spans="2:9" x14ac:dyDescent="0.25">
      <c r="B16" s="23" t="s">
        <v>176</v>
      </c>
    </row>
    <row r="17" spans="2:2" x14ac:dyDescent="0.25">
      <c r="B17" s="23" t="s">
        <v>177</v>
      </c>
    </row>
    <row r="18" spans="2:2" x14ac:dyDescent="0.25">
      <c r="B18" s="23" t="s">
        <v>178</v>
      </c>
    </row>
    <row r="19" spans="2:2" x14ac:dyDescent="0.25">
      <c r="B19" s="23" t="s">
        <v>128</v>
      </c>
    </row>
    <row r="20" spans="2:2" x14ac:dyDescent="0.25">
      <c r="B20" s="23" t="s">
        <v>179</v>
      </c>
    </row>
    <row r="21" spans="2:2" x14ac:dyDescent="0.25">
      <c r="B21" s="23" t="s">
        <v>113</v>
      </c>
    </row>
    <row r="22" spans="2:2" x14ac:dyDescent="0.25">
      <c r="B22" s="23" t="s">
        <v>122</v>
      </c>
    </row>
    <row r="23" spans="2:2" x14ac:dyDescent="0.25">
      <c r="B23" s="23" t="s">
        <v>181</v>
      </c>
    </row>
  </sheetData>
  <sheetProtection algorithmName="SHA-512" hashValue="aYbZvDz8YKFvCvyNXtqJuv/jUh550FQC1Z5nwF+jIbEZiIgyiGgBaFOkU+Sh4xxMfRkNz2VgcJuYDp9bcjYAig==" saltValue="SbCuxNAiXtY6ZaJs2zWw2A==" spinCount="100000" sheet="1" objects="1" scenarios="1" selectLockedCells="1"/>
  <mergeCells count="1">
    <mergeCell ref="D2:I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A133F-F04F-4981-AED5-C2016B698CF6}">
  <sheetPr codeName="Planilha2"/>
  <dimension ref="A1:F116"/>
  <sheetViews>
    <sheetView topLeftCell="A104" workbookViewId="0">
      <selection activeCell="B110" sqref="B110:B116"/>
    </sheetView>
  </sheetViews>
  <sheetFormatPr defaultRowHeight="15" x14ac:dyDescent="0.25"/>
  <cols>
    <col min="1" max="1" width="19.42578125" customWidth="1"/>
    <col min="2" max="2" width="36.42578125" customWidth="1"/>
    <col min="6" max="6" width="25.85546875" customWidth="1"/>
  </cols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99</v>
      </c>
    </row>
    <row r="2" spans="1:6" x14ac:dyDescent="0.25">
      <c r="A2" t="s">
        <v>4</v>
      </c>
      <c r="C2" t="s">
        <v>97</v>
      </c>
      <c r="E2" t="s">
        <v>96</v>
      </c>
    </row>
    <row r="3" spans="1:6" x14ac:dyDescent="0.25">
      <c r="A3" t="s">
        <v>6</v>
      </c>
      <c r="B3" t="s">
        <v>7</v>
      </c>
      <c r="C3" t="s">
        <v>94</v>
      </c>
    </row>
    <row r="4" spans="1:6" x14ac:dyDescent="0.25">
      <c r="B4" t="s">
        <v>8</v>
      </c>
      <c r="C4" t="s">
        <v>94</v>
      </c>
    </row>
    <row r="5" spans="1:6" x14ac:dyDescent="0.25">
      <c r="B5" t="s">
        <v>103</v>
      </c>
      <c r="C5" t="s">
        <v>94</v>
      </c>
    </row>
    <row r="6" spans="1:6" x14ac:dyDescent="0.25">
      <c r="B6" t="s">
        <v>9</v>
      </c>
      <c r="C6" t="s">
        <v>94</v>
      </c>
    </row>
    <row r="7" spans="1:6" x14ac:dyDescent="0.25">
      <c r="B7" t="s">
        <v>10</v>
      </c>
      <c r="C7" t="s">
        <v>94</v>
      </c>
    </row>
    <row r="8" spans="1:6" x14ac:dyDescent="0.25">
      <c r="B8" t="s">
        <v>11</v>
      </c>
      <c r="C8" t="s">
        <v>94</v>
      </c>
    </row>
    <row r="9" spans="1:6" x14ac:dyDescent="0.25">
      <c r="B9" t="s">
        <v>12</v>
      </c>
      <c r="C9" t="s">
        <v>94</v>
      </c>
    </row>
    <row r="10" spans="1:6" x14ac:dyDescent="0.25">
      <c r="B10" t="s">
        <v>13</v>
      </c>
      <c r="C10" t="s">
        <v>94</v>
      </c>
      <c r="D10">
        <v>1</v>
      </c>
    </row>
    <row r="11" spans="1:6" x14ac:dyDescent="0.25">
      <c r="B11" t="s">
        <v>14</v>
      </c>
      <c r="C11" t="s">
        <v>94</v>
      </c>
    </row>
    <row r="12" spans="1:6" x14ac:dyDescent="0.25">
      <c r="B12" t="s">
        <v>17</v>
      </c>
      <c r="C12" t="s">
        <v>94</v>
      </c>
    </row>
    <row r="13" spans="1:6" x14ac:dyDescent="0.25">
      <c r="B13" t="s">
        <v>15</v>
      </c>
      <c r="C13" t="s">
        <v>94</v>
      </c>
    </row>
    <row r="16" spans="1:6" x14ac:dyDescent="0.25">
      <c r="A16" t="s">
        <v>16</v>
      </c>
      <c r="B16" t="s">
        <v>18</v>
      </c>
      <c r="C16" t="s">
        <v>94</v>
      </c>
    </row>
    <row r="17" spans="2:4" x14ac:dyDescent="0.25">
      <c r="B17" t="s">
        <v>19</v>
      </c>
      <c r="C17" t="s">
        <v>94</v>
      </c>
    </row>
    <row r="18" spans="2:4" x14ac:dyDescent="0.25">
      <c r="B18" t="s">
        <v>20</v>
      </c>
      <c r="C18" t="s">
        <v>94</v>
      </c>
    </row>
    <row r="19" spans="2:4" x14ac:dyDescent="0.25">
      <c r="B19" t="s">
        <v>21</v>
      </c>
      <c r="C19" t="s">
        <v>94</v>
      </c>
    </row>
    <row r="20" spans="2:4" x14ac:dyDescent="0.25">
      <c r="B20" t="s">
        <v>22</v>
      </c>
      <c r="C20" t="s">
        <v>94</v>
      </c>
    </row>
    <row r="21" spans="2:4" x14ac:dyDescent="0.25">
      <c r="B21" t="s">
        <v>23</v>
      </c>
      <c r="C21" t="s">
        <v>94</v>
      </c>
    </row>
    <row r="22" spans="2:4" x14ac:dyDescent="0.25">
      <c r="B22" t="s">
        <v>24</v>
      </c>
      <c r="C22" t="s">
        <v>94</v>
      </c>
    </row>
    <row r="23" spans="2:4" x14ac:dyDescent="0.25">
      <c r="B23" t="s">
        <v>25</v>
      </c>
      <c r="C23" t="s">
        <v>94</v>
      </c>
    </row>
    <row r="24" spans="2:4" x14ac:dyDescent="0.25">
      <c r="B24" t="s">
        <v>26</v>
      </c>
      <c r="C24" t="s">
        <v>94</v>
      </c>
    </row>
    <row r="25" spans="2:4" x14ac:dyDescent="0.25">
      <c r="B25" t="s">
        <v>27</v>
      </c>
      <c r="C25" t="s">
        <v>94</v>
      </c>
    </row>
    <row r="26" spans="2:4" x14ac:dyDescent="0.25">
      <c r="B26" t="s">
        <v>28</v>
      </c>
      <c r="C26" t="s">
        <v>94</v>
      </c>
    </row>
    <row r="27" spans="2:4" x14ac:dyDescent="0.25">
      <c r="B27" t="s">
        <v>29</v>
      </c>
      <c r="C27" t="s">
        <v>94</v>
      </c>
    </row>
    <row r="28" spans="2:4" x14ac:dyDescent="0.25">
      <c r="B28" t="s">
        <v>30</v>
      </c>
      <c r="C28" t="s">
        <v>94</v>
      </c>
    </row>
    <row r="29" spans="2:4" x14ac:dyDescent="0.25">
      <c r="B29" t="s">
        <v>31</v>
      </c>
      <c r="C29" t="s">
        <v>94</v>
      </c>
      <c r="D29">
        <v>3</v>
      </c>
    </row>
    <row r="30" spans="2:4" x14ac:dyDescent="0.25">
      <c r="B30" t="s">
        <v>32</v>
      </c>
      <c r="C30" t="s">
        <v>94</v>
      </c>
    </row>
    <row r="31" spans="2:4" x14ac:dyDescent="0.25">
      <c r="B31" t="s">
        <v>69</v>
      </c>
      <c r="C31" t="s">
        <v>94</v>
      </c>
    </row>
    <row r="34" spans="1:4" x14ac:dyDescent="0.25">
      <c r="A34" t="s">
        <v>33</v>
      </c>
      <c r="B34" t="s">
        <v>34</v>
      </c>
      <c r="C34" t="s">
        <v>94</v>
      </c>
    </row>
    <row r="35" spans="1:4" x14ac:dyDescent="0.25">
      <c r="B35" t="s">
        <v>35</v>
      </c>
      <c r="C35" t="s">
        <v>94</v>
      </c>
    </row>
    <row r="36" spans="1:4" x14ac:dyDescent="0.25">
      <c r="B36" t="s">
        <v>36</v>
      </c>
      <c r="C36" t="s">
        <v>94</v>
      </c>
    </row>
    <row r="37" spans="1:4" x14ac:dyDescent="0.25">
      <c r="B37" t="s">
        <v>37</v>
      </c>
      <c r="C37" t="s">
        <v>94</v>
      </c>
    </row>
    <row r="38" spans="1:4" x14ac:dyDescent="0.25">
      <c r="B38" t="s">
        <v>38</v>
      </c>
      <c r="C38" t="s">
        <v>104</v>
      </c>
    </row>
    <row r="39" spans="1:4" x14ac:dyDescent="0.25">
      <c r="B39" t="s">
        <v>39</v>
      </c>
      <c r="C39" t="s">
        <v>94</v>
      </c>
    </row>
    <row r="40" spans="1:4" x14ac:dyDescent="0.25">
      <c r="B40" t="s">
        <v>40</v>
      </c>
      <c r="C40" t="s">
        <v>94</v>
      </c>
    </row>
    <row r="41" spans="1:4" x14ac:dyDescent="0.25">
      <c r="B41" t="s">
        <v>41</v>
      </c>
      <c r="C41" t="s">
        <v>94</v>
      </c>
    </row>
    <row r="42" spans="1:4" x14ac:dyDescent="0.25">
      <c r="B42" t="s">
        <v>42</v>
      </c>
      <c r="C42" t="s">
        <v>94</v>
      </c>
    </row>
    <row r="43" spans="1:4" x14ac:dyDescent="0.25">
      <c r="B43" t="s">
        <v>43</v>
      </c>
      <c r="C43" t="s">
        <v>94</v>
      </c>
    </row>
    <row r="44" spans="1:4" x14ac:dyDescent="0.25">
      <c r="B44" t="s">
        <v>44</v>
      </c>
      <c r="C44" t="s">
        <v>94</v>
      </c>
    </row>
    <row r="45" spans="1:4" x14ac:dyDescent="0.25">
      <c r="B45" t="s">
        <v>45</v>
      </c>
      <c r="C45" t="s">
        <v>94</v>
      </c>
    </row>
    <row r="46" spans="1:4" x14ac:dyDescent="0.25">
      <c r="B46" t="s">
        <v>46</v>
      </c>
      <c r="C46" t="s">
        <v>94</v>
      </c>
      <c r="D46">
        <v>1</v>
      </c>
    </row>
    <row r="50" spans="1:4" x14ac:dyDescent="0.25">
      <c r="A50" t="s">
        <v>47</v>
      </c>
      <c r="B50" t="s">
        <v>48</v>
      </c>
      <c r="C50" t="s">
        <v>94</v>
      </c>
    </row>
    <row r="51" spans="1:4" x14ac:dyDescent="0.25">
      <c r="B51" t="s">
        <v>49</v>
      </c>
      <c r="C51" t="s">
        <v>94</v>
      </c>
    </row>
    <row r="52" spans="1:4" x14ac:dyDescent="0.25">
      <c r="B52" t="s">
        <v>50</v>
      </c>
      <c r="C52" t="s">
        <v>94</v>
      </c>
      <c r="D52">
        <v>1</v>
      </c>
    </row>
    <row r="53" spans="1:4" x14ac:dyDescent="0.25">
      <c r="B53" t="s">
        <v>51</v>
      </c>
      <c r="C53" t="s">
        <v>94</v>
      </c>
    </row>
    <row r="54" spans="1:4" x14ac:dyDescent="0.25">
      <c r="B54" t="s">
        <v>52</v>
      </c>
      <c r="C54" t="s">
        <v>102</v>
      </c>
    </row>
    <row r="55" spans="1:4" x14ac:dyDescent="0.25">
      <c r="B55" t="s">
        <v>57</v>
      </c>
      <c r="C55" t="s">
        <v>94</v>
      </c>
    </row>
    <row r="56" spans="1:4" x14ac:dyDescent="0.25">
      <c r="B56" t="s">
        <v>53</v>
      </c>
      <c r="C56" t="s">
        <v>94</v>
      </c>
    </row>
    <row r="57" spans="1:4" x14ac:dyDescent="0.25">
      <c r="B57" t="s">
        <v>54</v>
      </c>
      <c r="C57" t="s">
        <v>94</v>
      </c>
      <c r="D57" t="s">
        <v>101</v>
      </c>
    </row>
    <row r="58" spans="1:4" x14ac:dyDescent="0.25">
      <c r="B58" t="s">
        <v>55</v>
      </c>
      <c r="C58" t="s">
        <v>94</v>
      </c>
    </row>
    <row r="59" spans="1:4" x14ac:dyDescent="0.25">
      <c r="B59" t="s">
        <v>56</v>
      </c>
      <c r="C59" t="s">
        <v>94</v>
      </c>
    </row>
    <row r="60" spans="1:4" x14ac:dyDescent="0.25">
      <c r="B60" t="s">
        <v>58</v>
      </c>
      <c r="C60" t="s">
        <v>94</v>
      </c>
      <c r="D60">
        <v>1</v>
      </c>
    </row>
    <row r="63" spans="1:4" x14ac:dyDescent="0.25">
      <c r="A63" t="s">
        <v>59</v>
      </c>
      <c r="B63" t="s">
        <v>62</v>
      </c>
      <c r="C63" t="s">
        <v>94</v>
      </c>
      <c r="D63">
        <v>1</v>
      </c>
    </row>
    <row r="64" spans="1:4" x14ac:dyDescent="0.25">
      <c r="B64" t="s">
        <v>60</v>
      </c>
      <c r="C64" t="s">
        <v>94</v>
      </c>
    </row>
    <row r="65" spans="1:5" x14ac:dyDescent="0.25">
      <c r="B65" t="s">
        <v>61</v>
      </c>
      <c r="C65" t="s">
        <v>94</v>
      </c>
    </row>
    <row r="66" spans="1:5" x14ac:dyDescent="0.25">
      <c r="B66" t="s">
        <v>100</v>
      </c>
      <c r="C66" t="s">
        <v>94</v>
      </c>
    </row>
    <row r="67" spans="1:5" x14ac:dyDescent="0.25">
      <c r="B67" t="s">
        <v>62</v>
      </c>
      <c r="C67" t="s">
        <v>94</v>
      </c>
    </row>
    <row r="68" spans="1:5" x14ac:dyDescent="0.25">
      <c r="B68" t="s">
        <v>63</v>
      </c>
      <c r="C68" t="s">
        <v>94</v>
      </c>
    </row>
    <row r="69" spans="1:5" x14ac:dyDescent="0.25">
      <c r="B69" t="s">
        <v>64</v>
      </c>
      <c r="C69" t="s">
        <v>94</v>
      </c>
    </row>
    <row r="70" spans="1:5" x14ac:dyDescent="0.25">
      <c r="B70" t="s">
        <v>65</v>
      </c>
      <c r="C70" t="s">
        <v>94</v>
      </c>
    </row>
    <row r="71" spans="1:5" x14ac:dyDescent="0.25">
      <c r="B71" t="s">
        <v>66</v>
      </c>
      <c r="C71" t="s">
        <v>94</v>
      </c>
    </row>
    <row r="72" spans="1:5" x14ac:dyDescent="0.25">
      <c r="B72" t="s">
        <v>67</v>
      </c>
      <c r="C72" t="s">
        <v>94</v>
      </c>
      <c r="D72">
        <v>3</v>
      </c>
    </row>
    <row r="73" spans="1:5" x14ac:dyDescent="0.25">
      <c r="B73" t="s">
        <v>68</v>
      </c>
      <c r="C73" t="s">
        <v>94</v>
      </c>
    </row>
    <row r="74" spans="1:5" x14ac:dyDescent="0.25">
      <c r="D74">
        <f>SUM(D3:D73)</f>
        <v>11</v>
      </c>
      <c r="E74">
        <f>SUM(E3:E73)</f>
        <v>0</v>
      </c>
    </row>
    <row r="75" spans="1:5" x14ac:dyDescent="0.25">
      <c r="B75" t="s">
        <v>114</v>
      </c>
      <c r="C75">
        <f>SUM(C3:C74)</f>
        <v>0</v>
      </c>
    </row>
    <row r="77" spans="1:5" x14ac:dyDescent="0.25">
      <c r="A77" t="s">
        <v>5</v>
      </c>
      <c r="B77" t="s">
        <v>70</v>
      </c>
      <c r="C77">
        <v>40</v>
      </c>
      <c r="D77">
        <v>1</v>
      </c>
    </row>
    <row r="78" spans="1:5" x14ac:dyDescent="0.25">
      <c r="B78" t="s">
        <v>71</v>
      </c>
      <c r="C78">
        <v>35</v>
      </c>
      <c r="D78">
        <v>2</v>
      </c>
    </row>
    <row r="79" spans="1:5" x14ac:dyDescent="0.25">
      <c r="B79" t="s">
        <v>72</v>
      </c>
      <c r="C79">
        <v>51</v>
      </c>
      <c r="D79">
        <v>2</v>
      </c>
    </row>
    <row r="80" spans="1:5" x14ac:dyDescent="0.25">
      <c r="B80" t="s">
        <v>73</v>
      </c>
      <c r="C80">
        <v>32</v>
      </c>
      <c r="D80">
        <v>1</v>
      </c>
      <c r="E80" t="s">
        <v>101</v>
      </c>
    </row>
    <row r="81" spans="2:6" x14ac:dyDescent="0.25">
      <c r="B81" t="s">
        <v>74</v>
      </c>
      <c r="C81">
        <v>33</v>
      </c>
    </row>
    <row r="82" spans="2:6" x14ac:dyDescent="0.25">
      <c r="B82" t="s">
        <v>75</v>
      </c>
      <c r="C82">
        <v>15</v>
      </c>
      <c r="D82">
        <v>1</v>
      </c>
    </row>
    <row r="83" spans="2:6" x14ac:dyDescent="0.25">
      <c r="B83" t="s">
        <v>76</v>
      </c>
      <c r="C83">
        <v>30</v>
      </c>
      <c r="D83">
        <v>3</v>
      </c>
    </row>
    <row r="84" spans="2:6" x14ac:dyDescent="0.25">
      <c r="B84" t="s">
        <v>95</v>
      </c>
      <c r="C84">
        <v>52</v>
      </c>
    </row>
    <row r="85" spans="2:6" x14ac:dyDescent="0.25">
      <c r="B85" t="s">
        <v>77</v>
      </c>
      <c r="C85">
        <v>33</v>
      </c>
      <c r="D85">
        <v>2</v>
      </c>
    </row>
    <row r="86" spans="2:6" x14ac:dyDescent="0.25">
      <c r="B86" t="s">
        <v>78</v>
      </c>
      <c r="C86">
        <v>32</v>
      </c>
    </row>
    <row r="87" spans="2:6" x14ac:dyDescent="0.25">
      <c r="B87" t="s">
        <v>79</v>
      </c>
      <c r="C87">
        <v>45</v>
      </c>
      <c r="D87">
        <v>2</v>
      </c>
    </row>
    <row r="88" spans="2:6" x14ac:dyDescent="0.25">
      <c r="B88" t="s">
        <v>80</v>
      </c>
      <c r="C88">
        <v>50</v>
      </c>
    </row>
    <row r="89" spans="2:6" x14ac:dyDescent="0.25">
      <c r="B89" t="s">
        <v>81</v>
      </c>
      <c r="C89">
        <v>45</v>
      </c>
      <c r="D89">
        <v>2</v>
      </c>
      <c r="F89" t="s">
        <v>98</v>
      </c>
    </row>
    <row r="90" spans="2:6" x14ac:dyDescent="0.25">
      <c r="B90" t="s">
        <v>82</v>
      </c>
      <c r="C90">
        <v>50</v>
      </c>
      <c r="D90">
        <v>1</v>
      </c>
    </row>
    <row r="91" spans="2:6" x14ac:dyDescent="0.25">
      <c r="B91" t="s">
        <v>83</v>
      </c>
      <c r="C91">
        <v>19</v>
      </c>
      <c r="D91">
        <v>1</v>
      </c>
    </row>
    <row r="92" spans="2:6" x14ac:dyDescent="0.25">
      <c r="B92" t="s">
        <v>84</v>
      </c>
      <c r="C92">
        <v>35</v>
      </c>
      <c r="D92">
        <v>2</v>
      </c>
    </row>
    <row r="93" spans="2:6" x14ac:dyDescent="0.25">
      <c r="B93" t="s">
        <v>85</v>
      </c>
      <c r="C93">
        <v>50</v>
      </c>
      <c r="D93">
        <v>1</v>
      </c>
    </row>
    <row r="94" spans="2:6" x14ac:dyDescent="0.25">
      <c r="B94" t="s">
        <v>86</v>
      </c>
      <c r="C94">
        <v>12</v>
      </c>
      <c r="D94">
        <v>1</v>
      </c>
    </row>
    <row r="95" spans="2:6" x14ac:dyDescent="0.25">
      <c r="B95" t="s">
        <v>88</v>
      </c>
      <c r="C95">
        <v>45</v>
      </c>
      <c r="D95">
        <v>1</v>
      </c>
    </row>
    <row r="96" spans="2:6" x14ac:dyDescent="0.25">
      <c r="B96" t="s">
        <v>87</v>
      </c>
      <c r="C96">
        <v>42</v>
      </c>
      <c r="D96">
        <v>3</v>
      </c>
    </row>
    <row r="97" spans="1:4" x14ac:dyDescent="0.25">
      <c r="B97" t="s">
        <v>105</v>
      </c>
      <c r="C97">
        <v>45</v>
      </c>
    </row>
    <row r="98" spans="1:4" x14ac:dyDescent="0.25">
      <c r="B98" t="s">
        <v>89</v>
      </c>
      <c r="C98">
        <v>18</v>
      </c>
      <c r="D98">
        <v>3</v>
      </c>
    </row>
    <row r="99" spans="1:4" x14ac:dyDescent="0.25">
      <c r="B99" t="s">
        <v>90</v>
      </c>
      <c r="C99">
        <v>12</v>
      </c>
      <c r="D99">
        <v>5</v>
      </c>
    </row>
    <row r="101" spans="1:4" x14ac:dyDescent="0.25">
      <c r="C101">
        <f>SUM(C77:C100)</f>
        <v>821</v>
      </c>
      <c r="D101">
        <f>SUM(D77:D100)</f>
        <v>34</v>
      </c>
    </row>
    <row r="104" spans="1:4" x14ac:dyDescent="0.25">
      <c r="A104" t="s">
        <v>91</v>
      </c>
      <c r="B104" t="s">
        <v>92</v>
      </c>
      <c r="C104">
        <v>84</v>
      </c>
      <c r="D104">
        <v>6</v>
      </c>
    </row>
    <row r="105" spans="1:4" x14ac:dyDescent="0.25">
      <c r="B105" t="s">
        <v>93</v>
      </c>
      <c r="C105">
        <v>79</v>
      </c>
      <c r="D105">
        <v>7</v>
      </c>
    </row>
    <row r="106" spans="1:4" x14ac:dyDescent="0.25">
      <c r="D106">
        <f>SUM(D104:D105)</f>
        <v>13</v>
      </c>
    </row>
    <row r="110" spans="1:4" x14ac:dyDescent="0.25">
      <c r="B110" t="s">
        <v>107</v>
      </c>
    </row>
    <row r="111" spans="1:4" x14ac:dyDescent="0.25">
      <c r="B111" t="s">
        <v>108</v>
      </c>
    </row>
    <row r="112" spans="1:4" x14ac:dyDescent="0.25">
      <c r="B112" t="s">
        <v>109</v>
      </c>
    </row>
    <row r="113" spans="2:2" x14ac:dyDescent="0.25">
      <c r="B113" t="s">
        <v>110</v>
      </c>
    </row>
    <row r="114" spans="2:2" x14ac:dyDescent="0.25">
      <c r="B114" t="s">
        <v>111</v>
      </c>
    </row>
    <row r="115" spans="2:2" x14ac:dyDescent="0.25">
      <c r="B115" t="s">
        <v>112</v>
      </c>
    </row>
    <row r="116" spans="2:2" x14ac:dyDescent="0.25">
      <c r="B116" t="s">
        <v>113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55D45-BC12-4C42-96BA-F71FDEA3E0E1}">
  <sheetPr codeName="Planilha3"/>
  <dimension ref="A1:E118"/>
  <sheetViews>
    <sheetView topLeftCell="B101" workbookViewId="0">
      <selection activeCell="B110" sqref="B110:B118"/>
    </sheetView>
  </sheetViews>
  <sheetFormatPr defaultRowHeight="15" x14ac:dyDescent="0.25"/>
  <cols>
    <col min="1" max="1" width="17.140625" customWidth="1"/>
    <col min="2" max="2" width="36.28515625" customWidth="1"/>
    <col min="3" max="3" width="11.140625" customWidth="1"/>
    <col min="5" max="5" width="31.42578125" customWidth="1"/>
  </cols>
  <sheetData>
    <row r="1" spans="1:5" x14ac:dyDescent="0.25">
      <c r="B1" t="s">
        <v>0</v>
      </c>
      <c r="C1" t="s">
        <v>1</v>
      </c>
      <c r="D1" t="s">
        <v>2</v>
      </c>
      <c r="E1" t="s">
        <v>99</v>
      </c>
    </row>
    <row r="2" spans="1:5" x14ac:dyDescent="0.25">
      <c r="A2" t="s">
        <v>4</v>
      </c>
      <c r="C2" t="s">
        <v>118</v>
      </c>
    </row>
    <row r="3" spans="1:5" x14ac:dyDescent="0.25">
      <c r="A3" t="s">
        <v>6</v>
      </c>
      <c r="B3" t="s">
        <v>7</v>
      </c>
      <c r="C3">
        <v>66</v>
      </c>
    </row>
    <row r="4" spans="1:5" x14ac:dyDescent="0.25">
      <c r="B4" t="s">
        <v>8</v>
      </c>
      <c r="C4">
        <v>18</v>
      </c>
    </row>
    <row r="5" spans="1:5" x14ac:dyDescent="0.25">
      <c r="B5" t="s">
        <v>103</v>
      </c>
      <c r="C5" t="s">
        <v>94</v>
      </c>
    </row>
    <row r="6" spans="1:5" x14ac:dyDescent="0.25">
      <c r="B6" t="s">
        <v>9</v>
      </c>
      <c r="C6" t="s">
        <v>94</v>
      </c>
    </row>
    <row r="7" spans="1:5" x14ac:dyDescent="0.25">
      <c r="B7" t="s">
        <v>10</v>
      </c>
      <c r="C7" t="s">
        <v>94</v>
      </c>
    </row>
    <row r="8" spans="1:5" x14ac:dyDescent="0.25">
      <c r="B8" t="s">
        <v>11</v>
      </c>
      <c r="C8" t="s">
        <v>119</v>
      </c>
    </row>
    <row r="9" spans="1:5" x14ac:dyDescent="0.25">
      <c r="B9" t="s">
        <v>12</v>
      </c>
      <c r="C9" t="s">
        <v>94</v>
      </c>
    </row>
    <row r="10" spans="1:5" x14ac:dyDescent="0.25">
      <c r="B10" t="s">
        <v>13</v>
      </c>
      <c r="C10" t="s">
        <v>94</v>
      </c>
      <c r="D10">
        <v>1</v>
      </c>
    </row>
    <row r="11" spans="1:5" x14ac:dyDescent="0.25">
      <c r="B11" t="s">
        <v>14</v>
      </c>
      <c r="C11">
        <v>20</v>
      </c>
      <c r="D11">
        <v>1</v>
      </c>
    </row>
    <row r="12" spans="1:5" x14ac:dyDescent="0.25">
      <c r="B12" t="s">
        <v>17</v>
      </c>
    </row>
    <row r="13" spans="1:5" x14ac:dyDescent="0.25">
      <c r="B13" t="s">
        <v>15</v>
      </c>
      <c r="C13" t="s">
        <v>94</v>
      </c>
    </row>
    <row r="16" spans="1:5" x14ac:dyDescent="0.25">
      <c r="A16" t="s">
        <v>16</v>
      </c>
      <c r="B16" t="s">
        <v>18</v>
      </c>
      <c r="C16">
        <v>19</v>
      </c>
    </row>
    <row r="17" spans="2:4" x14ac:dyDescent="0.25">
      <c r="B17" t="s">
        <v>19</v>
      </c>
      <c r="C17" t="s">
        <v>94</v>
      </c>
    </row>
    <row r="18" spans="2:4" x14ac:dyDescent="0.25">
      <c r="B18" t="s">
        <v>20</v>
      </c>
      <c r="C18" t="s">
        <v>94</v>
      </c>
    </row>
    <row r="19" spans="2:4" x14ac:dyDescent="0.25">
      <c r="B19" t="s">
        <v>21</v>
      </c>
      <c r="C19" t="s">
        <v>94</v>
      </c>
    </row>
    <row r="20" spans="2:4" x14ac:dyDescent="0.25">
      <c r="B20" t="s">
        <v>22</v>
      </c>
      <c r="C20">
        <v>31</v>
      </c>
    </row>
    <row r="21" spans="2:4" x14ac:dyDescent="0.25">
      <c r="B21" t="s">
        <v>23</v>
      </c>
      <c r="C21">
        <v>16</v>
      </c>
    </row>
    <row r="22" spans="2:4" x14ac:dyDescent="0.25">
      <c r="B22" t="s">
        <v>24</v>
      </c>
      <c r="C22">
        <v>15</v>
      </c>
    </row>
    <row r="23" spans="2:4" x14ac:dyDescent="0.25">
      <c r="B23" t="s">
        <v>25</v>
      </c>
      <c r="C23" t="s">
        <v>94</v>
      </c>
    </row>
    <row r="24" spans="2:4" x14ac:dyDescent="0.25">
      <c r="B24" t="s">
        <v>26</v>
      </c>
      <c r="C24">
        <v>15</v>
      </c>
    </row>
    <row r="25" spans="2:4" x14ac:dyDescent="0.25">
      <c r="B25" t="s">
        <v>27</v>
      </c>
      <c r="C25">
        <v>16</v>
      </c>
    </row>
    <row r="26" spans="2:4" x14ac:dyDescent="0.25">
      <c r="B26" t="s">
        <v>28</v>
      </c>
      <c r="C26">
        <v>15</v>
      </c>
    </row>
    <row r="27" spans="2:4" x14ac:dyDescent="0.25">
      <c r="B27" t="s">
        <v>29</v>
      </c>
      <c r="C27">
        <v>19</v>
      </c>
    </row>
    <row r="28" spans="2:4" x14ac:dyDescent="0.25">
      <c r="B28" t="s">
        <v>30</v>
      </c>
      <c r="C28">
        <v>30</v>
      </c>
    </row>
    <row r="29" spans="2:4" x14ac:dyDescent="0.25">
      <c r="B29" t="s">
        <v>31</v>
      </c>
      <c r="C29">
        <v>23</v>
      </c>
      <c r="D29">
        <v>5</v>
      </c>
    </row>
    <row r="30" spans="2:4" x14ac:dyDescent="0.25">
      <c r="B30" t="s">
        <v>32</v>
      </c>
      <c r="C30" t="s">
        <v>94</v>
      </c>
    </row>
    <row r="31" spans="2:4" x14ac:dyDescent="0.25">
      <c r="B31" t="s">
        <v>69</v>
      </c>
      <c r="C31" t="s">
        <v>94</v>
      </c>
    </row>
    <row r="32" spans="2:4" x14ac:dyDescent="0.25">
      <c r="B32" t="s">
        <v>53</v>
      </c>
      <c r="C32" t="s">
        <v>94</v>
      </c>
    </row>
    <row r="34" spans="1:4" x14ac:dyDescent="0.25">
      <c r="A34" t="s">
        <v>33</v>
      </c>
      <c r="B34" t="s">
        <v>34</v>
      </c>
      <c r="C34">
        <v>31</v>
      </c>
    </row>
    <row r="35" spans="1:4" x14ac:dyDescent="0.25">
      <c r="B35" t="s">
        <v>35</v>
      </c>
      <c r="C35" t="s">
        <v>94</v>
      </c>
    </row>
    <row r="36" spans="1:4" x14ac:dyDescent="0.25">
      <c r="B36" t="s">
        <v>36</v>
      </c>
      <c r="C36" t="s">
        <v>94</v>
      </c>
    </row>
    <row r="37" spans="1:4" x14ac:dyDescent="0.25">
      <c r="B37" t="s">
        <v>37</v>
      </c>
      <c r="C37" t="s">
        <v>94</v>
      </c>
    </row>
    <row r="38" spans="1:4" x14ac:dyDescent="0.25">
      <c r="B38" t="s">
        <v>38</v>
      </c>
    </row>
    <row r="39" spans="1:4" x14ac:dyDescent="0.25">
      <c r="B39" t="s">
        <v>39</v>
      </c>
      <c r="C39">
        <v>15</v>
      </c>
    </row>
    <row r="40" spans="1:4" x14ac:dyDescent="0.25">
      <c r="B40" t="s">
        <v>40</v>
      </c>
      <c r="C40">
        <v>15</v>
      </c>
    </row>
    <row r="41" spans="1:4" x14ac:dyDescent="0.25">
      <c r="B41" t="s">
        <v>41</v>
      </c>
      <c r="C41" t="s">
        <v>94</v>
      </c>
    </row>
    <row r="42" spans="1:4" x14ac:dyDescent="0.25">
      <c r="B42" t="s">
        <v>42</v>
      </c>
      <c r="C42" t="s">
        <v>94</v>
      </c>
    </row>
    <row r="43" spans="1:4" x14ac:dyDescent="0.25">
      <c r="B43" t="s">
        <v>43</v>
      </c>
      <c r="C43" t="s">
        <v>94</v>
      </c>
    </row>
    <row r="44" spans="1:4" x14ac:dyDescent="0.25">
      <c r="B44" t="s">
        <v>44</v>
      </c>
      <c r="C44">
        <v>22</v>
      </c>
    </row>
    <row r="45" spans="1:4" x14ac:dyDescent="0.25">
      <c r="B45" t="s">
        <v>45</v>
      </c>
      <c r="C45" t="s">
        <v>94</v>
      </c>
    </row>
    <row r="46" spans="1:4" x14ac:dyDescent="0.25">
      <c r="B46" t="s">
        <v>46</v>
      </c>
      <c r="C46">
        <v>15</v>
      </c>
      <c r="D46">
        <v>1</v>
      </c>
    </row>
    <row r="50" spans="1:4" x14ac:dyDescent="0.25">
      <c r="A50" t="s">
        <v>47</v>
      </c>
      <c r="B50" t="s">
        <v>48</v>
      </c>
      <c r="C50" t="s">
        <v>121</v>
      </c>
    </row>
    <row r="51" spans="1:4" x14ac:dyDescent="0.25">
      <c r="B51" t="s">
        <v>49</v>
      </c>
      <c r="C51" t="s">
        <v>94</v>
      </c>
    </row>
    <row r="52" spans="1:4" x14ac:dyDescent="0.25">
      <c r="B52" t="s">
        <v>50</v>
      </c>
      <c r="C52" t="s">
        <v>94</v>
      </c>
    </row>
    <row r="53" spans="1:4" x14ac:dyDescent="0.25">
      <c r="B53" t="s">
        <v>51</v>
      </c>
      <c r="C53" t="s">
        <v>94</v>
      </c>
    </row>
    <row r="54" spans="1:4" x14ac:dyDescent="0.25">
      <c r="B54" t="s">
        <v>52</v>
      </c>
      <c r="C54">
        <v>15</v>
      </c>
    </row>
    <row r="55" spans="1:4" x14ac:dyDescent="0.25">
      <c r="B55" t="s">
        <v>57</v>
      </c>
      <c r="C55">
        <v>20</v>
      </c>
    </row>
    <row r="56" spans="1:4" x14ac:dyDescent="0.25">
      <c r="B56" t="s">
        <v>54</v>
      </c>
      <c r="C56" t="s">
        <v>94</v>
      </c>
    </row>
    <row r="57" spans="1:4" x14ac:dyDescent="0.25">
      <c r="B57" t="s">
        <v>55</v>
      </c>
      <c r="C57" t="s">
        <v>94</v>
      </c>
      <c r="D57">
        <v>2</v>
      </c>
    </row>
    <row r="58" spans="1:4" x14ac:dyDescent="0.25">
      <c r="B58" t="s">
        <v>56</v>
      </c>
      <c r="C58">
        <v>16</v>
      </c>
    </row>
    <row r="59" spans="1:4" x14ac:dyDescent="0.25">
      <c r="B59" t="s">
        <v>58</v>
      </c>
      <c r="C59">
        <v>20</v>
      </c>
      <c r="D59">
        <v>1</v>
      </c>
    </row>
    <row r="63" spans="1:4" x14ac:dyDescent="0.25">
      <c r="A63" t="s">
        <v>59</v>
      </c>
      <c r="B63" t="s">
        <v>62</v>
      </c>
      <c r="C63" t="s">
        <v>94</v>
      </c>
    </row>
    <row r="64" spans="1:4" x14ac:dyDescent="0.25">
      <c r="B64" t="s">
        <v>60</v>
      </c>
      <c r="C64" t="s">
        <v>94</v>
      </c>
    </row>
    <row r="65" spans="1:5" x14ac:dyDescent="0.25">
      <c r="B65" t="s">
        <v>61</v>
      </c>
      <c r="C65" t="s">
        <v>94</v>
      </c>
    </row>
    <row r="66" spans="1:5" x14ac:dyDescent="0.25">
      <c r="B66" t="s">
        <v>100</v>
      </c>
      <c r="C66">
        <v>20</v>
      </c>
    </row>
    <row r="67" spans="1:5" x14ac:dyDescent="0.25">
      <c r="B67" t="s">
        <v>62</v>
      </c>
      <c r="C67" t="s">
        <v>94</v>
      </c>
    </row>
    <row r="68" spans="1:5" x14ac:dyDescent="0.25">
      <c r="B68" t="s">
        <v>63</v>
      </c>
      <c r="C68" t="s">
        <v>94</v>
      </c>
    </row>
    <row r="69" spans="1:5" x14ac:dyDescent="0.25">
      <c r="B69" t="s">
        <v>64</v>
      </c>
      <c r="C69">
        <v>15</v>
      </c>
    </row>
    <row r="70" spans="1:5" x14ac:dyDescent="0.25">
      <c r="B70" t="s">
        <v>65</v>
      </c>
      <c r="C70">
        <v>15</v>
      </c>
    </row>
    <row r="71" spans="1:5" x14ac:dyDescent="0.25">
      <c r="B71" t="s">
        <v>66</v>
      </c>
      <c r="C71">
        <v>16</v>
      </c>
      <c r="D71">
        <v>1</v>
      </c>
    </row>
    <row r="72" spans="1:5" x14ac:dyDescent="0.25">
      <c r="B72" t="s">
        <v>67</v>
      </c>
      <c r="C72">
        <v>36</v>
      </c>
      <c r="D72">
        <v>7</v>
      </c>
    </row>
    <row r="73" spans="1:5" x14ac:dyDescent="0.25">
      <c r="B73" t="s">
        <v>68</v>
      </c>
      <c r="C73">
        <v>16</v>
      </c>
      <c r="D73">
        <v>2</v>
      </c>
    </row>
    <row r="75" spans="1:5" x14ac:dyDescent="0.25">
      <c r="B75" t="s">
        <v>114</v>
      </c>
      <c r="C75">
        <f>SUM(C3:C74)</f>
        <v>590</v>
      </c>
    </row>
    <row r="77" spans="1:5" x14ac:dyDescent="0.25">
      <c r="A77" t="s">
        <v>5</v>
      </c>
      <c r="B77" t="s">
        <v>70</v>
      </c>
      <c r="C77">
        <v>32</v>
      </c>
      <c r="D77">
        <v>2</v>
      </c>
    </row>
    <row r="78" spans="1:5" x14ac:dyDescent="0.25">
      <c r="B78" t="s">
        <v>71</v>
      </c>
      <c r="C78">
        <v>37</v>
      </c>
      <c r="D78">
        <v>2</v>
      </c>
      <c r="E78" t="s">
        <v>115</v>
      </c>
    </row>
    <row r="79" spans="1:5" x14ac:dyDescent="0.25">
      <c r="B79" t="s">
        <v>72</v>
      </c>
      <c r="C79">
        <v>50</v>
      </c>
      <c r="D79">
        <v>2</v>
      </c>
    </row>
    <row r="80" spans="1:5" x14ac:dyDescent="0.25">
      <c r="B80" t="s">
        <v>73</v>
      </c>
      <c r="C80">
        <v>39</v>
      </c>
      <c r="D80">
        <v>1</v>
      </c>
    </row>
    <row r="81" spans="2:5" x14ac:dyDescent="0.25">
      <c r="B81" t="s">
        <v>74</v>
      </c>
      <c r="C81">
        <v>42</v>
      </c>
    </row>
    <row r="82" spans="2:5" x14ac:dyDescent="0.25">
      <c r="B82" t="s">
        <v>75</v>
      </c>
      <c r="C82">
        <v>40</v>
      </c>
      <c r="D82">
        <v>2</v>
      </c>
    </row>
    <row r="83" spans="2:5" x14ac:dyDescent="0.25">
      <c r="B83" t="s">
        <v>76</v>
      </c>
      <c r="C83">
        <v>36</v>
      </c>
      <c r="D83">
        <v>4</v>
      </c>
      <c r="E83" t="s">
        <v>116</v>
      </c>
    </row>
    <row r="84" spans="2:5" x14ac:dyDescent="0.25">
      <c r="B84" t="s">
        <v>95</v>
      </c>
      <c r="C84">
        <v>54</v>
      </c>
    </row>
    <row r="85" spans="2:5" x14ac:dyDescent="0.25">
      <c r="B85" t="s">
        <v>77</v>
      </c>
      <c r="C85">
        <v>39</v>
      </c>
      <c r="D85">
        <v>4</v>
      </c>
      <c r="E85" t="s">
        <v>117</v>
      </c>
    </row>
    <row r="86" spans="2:5" x14ac:dyDescent="0.25">
      <c r="B86" t="s">
        <v>78</v>
      </c>
      <c r="C86">
        <v>38</v>
      </c>
    </row>
    <row r="87" spans="2:5" x14ac:dyDescent="0.25">
      <c r="B87" t="s">
        <v>79</v>
      </c>
      <c r="C87">
        <v>52</v>
      </c>
      <c r="D87">
        <v>2</v>
      </c>
    </row>
    <row r="88" spans="2:5" x14ac:dyDescent="0.25">
      <c r="B88" t="s">
        <v>80</v>
      </c>
      <c r="C88">
        <v>50</v>
      </c>
    </row>
    <row r="89" spans="2:5" x14ac:dyDescent="0.25">
      <c r="B89" t="s">
        <v>81</v>
      </c>
      <c r="C89">
        <v>50</v>
      </c>
      <c r="D89">
        <v>3</v>
      </c>
    </row>
    <row r="90" spans="2:5" x14ac:dyDescent="0.25">
      <c r="B90" t="s">
        <v>82</v>
      </c>
      <c r="C90">
        <v>48</v>
      </c>
      <c r="D90">
        <v>1</v>
      </c>
    </row>
    <row r="91" spans="2:5" x14ac:dyDescent="0.25">
      <c r="B91" t="s">
        <v>83</v>
      </c>
      <c r="C91">
        <v>13</v>
      </c>
      <c r="D91">
        <v>1</v>
      </c>
    </row>
    <row r="92" spans="2:5" x14ac:dyDescent="0.25">
      <c r="B92" t="s">
        <v>84</v>
      </c>
      <c r="C92">
        <v>45</v>
      </c>
      <c r="D92">
        <v>2</v>
      </c>
    </row>
    <row r="93" spans="2:5" x14ac:dyDescent="0.25">
      <c r="B93" t="s">
        <v>85</v>
      </c>
      <c r="C93">
        <v>50</v>
      </c>
      <c r="D93">
        <v>1</v>
      </c>
    </row>
    <row r="94" spans="2:5" x14ac:dyDescent="0.25">
      <c r="B94" t="s">
        <v>86</v>
      </c>
      <c r="C94">
        <v>30</v>
      </c>
      <c r="D94">
        <v>1</v>
      </c>
    </row>
    <row r="95" spans="2:5" x14ac:dyDescent="0.25">
      <c r="B95" t="s">
        <v>88</v>
      </c>
      <c r="C95">
        <v>51</v>
      </c>
      <c r="D95">
        <v>1</v>
      </c>
    </row>
    <row r="96" spans="2:5" x14ac:dyDescent="0.25">
      <c r="B96" t="s">
        <v>87</v>
      </c>
      <c r="C96">
        <v>39</v>
      </c>
      <c r="D96">
        <v>1</v>
      </c>
      <c r="E96" t="s">
        <v>106</v>
      </c>
    </row>
    <row r="97" spans="1:4" x14ac:dyDescent="0.25">
      <c r="B97" t="s">
        <v>105</v>
      </c>
      <c r="C97">
        <v>52</v>
      </c>
    </row>
    <row r="98" spans="1:4" x14ac:dyDescent="0.25">
      <c r="B98" t="s">
        <v>89</v>
      </c>
      <c r="C98">
        <v>43</v>
      </c>
      <c r="D98">
        <v>3</v>
      </c>
    </row>
    <row r="99" spans="1:4" x14ac:dyDescent="0.25">
      <c r="B99" t="s">
        <v>90</v>
      </c>
      <c r="C99">
        <v>41</v>
      </c>
      <c r="D99">
        <v>5</v>
      </c>
    </row>
    <row r="101" spans="1:4" x14ac:dyDescent="0.25">
      <c r="B101" t="s">
        <v>120</v>
      </c>
      <c r="C101">
        <f>SUM(C77:C100)</f>
        <v>971</v>
      </c>
      <c r="D101">
        <f>SUM(D77:D100)</f>
        <v>38</v>
      </c>
    </row>
    <row r="104" spans="1:4" x14ac:dyDescent="0.25">
      <c r="A104" t="s">
        <v>91</v>
      </c>
      <c r="B104" t="s">
        <v>92</v>
      </c>
      <c r="C104">
        <v>22</v>
      </c>
      <c r="D104">
        <v>4</v>
      </c>
    </row>
    <row r="105" spans="1:4" x14ac:dyDescent="0.25">
      <c r="B105" t="s">
        <v>93</v>
      </c>
      <c r="C105">
        <v>25</v>
      </c>
      <c r="D105">
        <v>4</v>
      </c>
    </row>
    <row r="110" spans="1:4" x14ac:dyDescent="0.25">
      <c r="B110" t="s">
        <v>123</v>
      </c>
      <c r="C110">
        <v>86</v>
      </c>
    </row>
    <row r="111" spans="1:4" x14ac:dyDescent="0.25">
      <c r="B111" t="s">
        <v>124</v>
      </c>
      <c r="C111">
        <v>32</v>
      </c>
    </row>
    <row r="112" spans="1:4" x14ac:dyDescent="0.25">
      <c r="B112" t="s">
        <v>108</v>
      </c>
      <c r="C112">
        <v>3</v>
      </c>
    </row>
    <row r="113" spans="2:3" x14ac:dyDescent="0.25">
      <c r="B113" t="s">
        <v>109</v>
      </c>
      <c r="C113">
        <v>29</v>
      </c>
    </row>
    <row r="114" spans="2:3" x14ac:dyDescent="0.25">
      <c r="B114" t="s">
        <v>110</v>
      </c>
      <c r="C114">
        <v>18</v>
      </c>
    </row>
    <row r="115" spans="2:3" x14ac:dyDescent="0.25">
      <c r="B115" t="s">
        <v>111</v>
      </c>
      <c r="C115">
        <v>23</v>
      </c>
    </row>
    <row r="116" spans="2:3" x14ac:dyDescent="0.25">
      <c r="B116" t="s">
        <v>112</v>
      </c>
      <c r="C116">
        <v>37</v>
      </c>
    </row>
    <row r="117" spans="2:3" x14ac:dyDescent="0.25">
      <c r="B117" t="s">
        <v>113</v>
      </c>
    </row>
    <row r="118" spans="2:3" x14ac:dyDescent="0.25">
      <c r="B118" t="s">
        <v>122</v>
      </c>
      <c r="C118">
        <v>66</v>
      </c>
    </row>
  </sheetData>
  <pageMargins left="0.51181102362204722" right="0.51181102362204722" top="0.78740157480314965" bottom="0.78740157480314965" header="0.31496062992125984" footer="0.31496062992125984"/>
  <pageSetup paperSize="9" scale="80" fitToWidth="0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B220E-C6B5-4604-B829-8C029DF50977}">
  <sheetPr codeName="Planilha4"/>
  <dimension ref="A1:D118"/>
  <sheetViews>
    <sheetView topLeftCell="A95" workbookViewId="0">
      <selection activeCell="B112" sqref="B112"/>
    </sheetView>
  </sheetViews>
  <sheetFormatPr defaultRowHeight="15" x14ac:dyDescent="0.25"/>
  <cols>
    <col min="1" max="1" width="36" customWidth="1"/>
    <col min="2" max="2" width="11" customWidth="1"/>
    <col min="4" max="4" width="29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99</v>
      </c>
    </row>
    <row r="2" spans="1:4" ht="15.75" x14ac:dyDescent="0.25">
      <c r="A2" s="1" t="s">
        <v>125</v>
      </c>
      <c r="B2" t="s">
        <v>118</v>
      </c>
    </row>
    <row r="3" spans="1:4" x14ac:dyDescent="0.25">
      <c r="A3" t="s">
        <v>7</v>
      </c>
      <c r="B3">
        <v>62</v>
      </c>
    </row>
    <row r="4" spans="1:4" x14ac:dyDescent="0.25">
      <c r="A4" t="s">
        <v>8</v>
      </c>
      <c r="B4" t="s">
        <v>94</v>
      </c>
    </row>
    <row r="5" spans="1:4" x14ac:dyDescent="0.25">
      <c r="A5" t="s">
        <v>103</v>
      </c>
      <c r="B5" t="s">
        <v>94</v>
      </c>
    </row>
    <row r="6" spans="1:4" x14ac:dyDescent="0.25">
      <c r="A6" t="s">
        <v>9</v>
      </c>
      <c r="B6" t="s">
        <v>94</v>
      </c>
    </row>
    <row r="7" spans="1:4" x14ac:dyDescent="0.25">
      <c r="A7" t="s">
        <v>10</v>
      </c>
      <c r="B7" t="s">
        <v>104</v>
      </c>
    </row>
    <row r="8" spans="1:4" x14ac:dyDescent="0.25">
      <c r="A8" t="s">
        <v>11</v>
      </c>
      <c r="B8" t="s">
        <v>104</v>
      </c>
    </row>
    <row r="9" spans="1:4" x14ac:dyDescent="0.25">
      <c r="A9" t="s">
        <v>12</v>
      </c>
      <c r="B9" t="s">
        <v>94</v>
      </c>
    </row>
    <row r="10" spans="1:4" x14ac:dyDescent="0.25">
      <c r="A10" t="s">
        <v>131</v>
      </c>
      <c r="B10" t="s">
        <v>94</v>
      </c>
      <c r="C10">
        <v>1</v>
      </c>
    </row>
    <row r="11" spans="1:4" x14ac:dyDescent="0.25">
      <c r="A11" t="s">
        <v>13</v>
      </c>
      <c r="B11" t="s">
        <v>94</v>
      </c>
      <c r="C11">
        <v>1</v>
      </c>
    </row>
    <row r="12" spans="1:4" x14ac:dyDescent="0.25">
      <c r="A12" t="s">
        <v>14</v>
      </c>
      <c r="B12" t="s">
        <v>140</v>
      </c>
      <c r="C12">
        <v>1</v>
      </c>
    </row>
    <row r="13" spans="1:4" x14ac:dyDescent="0.25">
      <c r="A13" t="s">
        <v>17</v>
      </c>
      <c r="B13" t="s">
        <v>104</v>
      </c>
    </row>
    <row r="14" spans="1:4" x14ac:dyDescent="0.25">
      <c r="A14" t="s">
        <v>15</v>
      </c>
      <c r="B14" t="s">
        <v>94</v>
      </c>
    </row>
    <row r="16" spans="1:4" ht="15.75" x14ac:dyDescent="0.25">
      <c r="A16" s="2" t="s">
        <v>126</v>
      </c>
    </row>
    <row r="17" spans="1:3" x14ac:dyDescent="0.25">
      <c r="A17" t="s">
        <v>18</v>
      </c>
      <c r="B17" t="s">
        <v>94</v>
      </c>
    </row>
    <row r="18" spans="1:3" x14ac:dyDescent="0.25">
      <c r="A18" t="s">
        <v>19</v>
      </c>
      <c r="B18" t="s">
        <v>119</v>
      </c>
    </row>
    <row r="19" spans="1:3" x14ac:dyDescent="0.25">
      <c r="A19" t="s">
        <v>20</v>
      </c>
      <c r="B19" t="s">
        <v>144</v>
      </c>
    </row>
    <row r="20" spans="1:3" x14ac:dyDescent="0.25">
      <c r="A20" t="s">
        <v>21</v>
      </c>
      <c r="B20" t="s">
        <v>94</v>
      </c>
    </row>
    <row r="21" spans="1:3" x14ac:dyDescent="0.25">
      <c r="A21" t="s">
        <v>22</v>
      </c>
      <c r="B21" t="s">
        <v>94</v>
      </c>
    </row>
    <row r="22" spans="1:3" x14ac:dyDescent="0.25">
      <c r="A22" t="s">
        <v>23</v>
      </c>
      <c r="B22" t="s">
        <v>94</v>
      </c>
    </row>
    <row r="23" spans="1:3" x14ac:dyDescent="0.25">
      <c r="A23" t="s">
        <v>24</v>
      </c>
      <c r="B23" t="s">
        <v>94</v>
      </c>
    </row>
    <row r="24" spans="1:3" x14ac:dyDescent="0.25">
      <c r="A24" t="s">
        <v>25</v>
      </c>
      <c r="B24" t="s">
        <v>94</v>
      </c>
    </row>
    <row r="25" spans="1:3" x14ac:dyDescent="0.25">
      <c r="A25" t="s">
        <v>26</v>
      </c>
      <c r="B25" t="s">
        <v>94</v>
      </c>
    </row>
    <row r="26" spans="1:3" x14ac:dyDescent="0.25">
      <c r="A26" t="s">
        <v>27</v>
      </c>
      <c r="B26" t="s">
        <v>94</v>
      </c>
    </row>
    <row r="27" spans="1:3" x14ac:dyDescent="0.25">
      <c r="A27" t="s">
        <v>28</v>
      </c>
      <c r="B27" t="s">
        <v>94</v>
      </c>
    </row>
    <row r="28" spans="1:3" x14ac:dyDescent="0.25">
      <c r="A28" t="s">
        <v>29</v>
      </c>
      <c r="B28" t="s">
        <v>94</v>
      </c>
    </row>
    <row r="29" spans="1:3" x14ac:dyDescent="0.25">
      <c r="A29" t="s">
        <v>30</v>
      </c>
      <c r="B29">
        <v>27</v>
      </c>
    </row>
    <row r="30" spans="1:3" x14ac:dyDescent="0.25">
      <c r="A30" t="s">
        <v>31</v>
      </c>
      <c r="B30" t="s">
        <v>94</v>
      </c>
      <c r="C30">
        <v>4</v>
      </c>
    </row>
    <row r="31" spans="1:3" x14ac:dyDescent="0.25">
      <c r="A31" t="s">
        <v>32</v>
      </c>
      <c r="B31" t="s">
        <v>94</v>
      </c>
    </row>
    <row r="32" spans="1:3" x14ac:dyDescent="0.25">
      <c r="A32" t="s">
        <v>69</v>
      </c>
      <c r="B32" t="s">
        <v>94</v>
      </c>
    </row>
    <row r="33" spans="1:3" x14ac:dyDescent="0.25">
      <c r="A33" t="s">
        <v>53</v>
      </c>
      <c r="B33" t="s">
        <v>94</v>
      </c>
      <c r="C33">
        <v>1</v>
      </c>
    </row>
    <row r="35" spans="1:3" ht="15.75" x14ac:dyDescent="0.25">
      <c r="A35" s="2" t="s">
        <v>33</v>
      </c>
    </row>
    <row r="36" spans="1:3" x14ac:dyDescent="0.25">
      <c r="A36" t="s">
        <v>132</v>
      </c>
      <c r="B36" t="s">
        <v>94</v>
      </c>
    </row>
    <row r="37" spans="1:3" x14ac:dyDescent="0.25">
      <c r="A37" t="s">
        <v>35</v>
      </c>
      <c r="B37" t="s">
        <v>94</v>
      </c>
    </row>
    <row r="38" spans="1:3" x14ac:dyDescent="0.25">
      <c r="A38" t="s">
        <v>133</v>
      </c>
      <c r="B38" t="s">
        <v>94</v>
      </c>
    </row>
    <row r="39" spans="1:3" x14ac:dyDescent="0.25">
      <c r="A39" t="s">
        <v>37</v>
      </c>
      <c r="B39" t="s">
        <v>94</v>
      </c>
    </row>
    <row r="40" spans="1:3" x14ac:dyDescent="0.25">
      <c r="A40" t="s">
        <v>139</v>
      </c>
      <c r="B40" t="s">
        <v>119</v>
      </c>
    </row>
    <row r="41" spans="1:3" x14ac:dyDescent="0.25">
      <c r="A41" t="s">
        <v>134</v>
      </c>
      <c r="B41" t="s">
        <v>94</v>
      </c>
    </row>
    <row r="42" spans="1:3" x14ac:dyDescent="0.25">
      <c r="A42" t="s">
        <v>40</v>
      </c>
      <c r="B42" t="s">
        <v>94</v>
      </c>
    </row>
    <row r="43" spans="1:3" x14ac:dyDescent="0.25">
      <c r="A43" t="s">
        <v>135</v>
      </c>
      <c r="B43" t="s">
        <v>94</v>
      </c>
    </row>
    <row r="44" spans="1:3" x14ac:dyDescent="0.25">
      <c r="A44" t="s">
        <v>42</v>
      </c>
      <c r="B44" t="s">
        <v>94</v>
      </c>
    </row>
    <row r="45" spans="1:3" x14ac:dyDescent="0.25">
      <c r="A45" t="s">
        <v>43</v>
      </c>
      <c r="B45" t="s">
        <v>94</v>
      </c>
    </row>
    <row r="46" spans="1:3" x14ac:dyDescent="0.25">
      <c r="A46" t="s">
        <v>44</v>
      </c>
      <c r="B46" t="s">
        <v>94</v>
      </c>
    </row>
    <row r="47" spans="1:3" x14ac:dyDescent="0.25">
      <c r="A47" t="s">
        <v>45</v>
      </c>
      <c r="B47" t="s">
        <v>94</v>
      </c>
    </row>
    <row r="48" spans="1:3" x14ac:dyDescent="0.25">
      <c r="A48" t="s">
        <v>46</v>
      </c>
      <c r="B48" t="s">
        <v>94</v>
      </c>
    </row>
    <row r="51" spans="1:3" ht="15.75" x14ac:dyDescent="0.25">
      <c r="A51" s="2" t="s">
        <v>47</v>
      </c>
    </row>
    <row r="52" spans="1:3" x14ac:dyDescent="0.25">
      <c r="A52" t="s">
        <v>136</v>
      </c>
      <c r="B52" t="s">
        <v>94</v>
      </c>
    </row>
    <row r="53" spans="1:3" x14ac:dyDescent="0.25">
      <c r="A53" t="s">
        <v>49</v>
      </c>
      <c r="B53" t="s">
        <v>94</v>
      </c>
    </row>
    <row r="54" spans="1:3" x14ac:dyDescent="0.25">
      <c r="A54" t="s">
        <v>50</v>
      </c>
      <c r="B54" t="s">
        <v>94</v>
      </c>
    </row>
    <row r="55" spans="1:3" x14ac:dyDescent="0.25">
      <c r="A55" t="s">
        <v>51</v>
      </c>
      <c r="B55" t="s">
        <v>94</v>
      </c>
    </row>
    <row r="56" spans="1:3" x14ac:dyDescent="0.25">
      <c r="A56" t="s">
        <v>52</v>
      </c>
      <c r="B56" t="s">
        <v>94</v>
      </c>
    </row>
    <row r="57" spans="1:3" x14ac:dyDescent="0.25">
      <c r="A57" t="s">
        <v>57</v>
      </c>
      <c r="B57" t="s">
        <v>94</v>
      </c>
    </row>
    <row r="58" spans="1:3" x14ac:dyDescent="0.25">
      <c r="A58" t="s">
        <v>54</v>
      </c>
      <c r="B58" t="s">
        <v>94</v>
      </c>
    </row>
    <row r="59" spans="1:3" x14ac:dyDescent="0.25">
      <c r="A59" t="s">
        <v>55</v>
      </c>
      <c r="B59" t="s">
        <v>94</v>
      </c>
    </row>
    <row r="60" spans="1:3" x14ac:dyDescent="0.25">
      <c r="A60" t="s">
        <v>56</v>
      </c>
      <c r="B60" t="s">
        <v>94</v>
      </c>
    </row>
    <row r="61" spans="1:3" x14ac:dyDescent="0.25">
      <c r="A61" t="s">
        <v>58</v>
      </c>
      <c r="B61" t="s">
        <v>94</v>
      </c>
      <c r="C61">
        <v>1</v>
      </c>
    </row>
    <row r="64" spans="1:3" ht="15.75" x14ac:dyDescent="0.25">
      <c r="A64" s="2" t="s">
        <v>127</v>
      </c>
    </row>
    <row r="65" spans="1:4" x14ac:dyDescent="0.25">
      <c r="A65" t="s">
        <v>60</v>
      </c>
      <c r="B65" t="s">
        <v>94</v>
      </c>
    </row>
    <row r="66" spans="1:4" x14ac:dyDescent="0.25">
      <c r="A66" t="s">
        <v>61</v>
      </c>
      <c r="B66" t="s">
        <v>94</v>
      </c>
    </row>
    <row r="67" spans="1:4" x14ac:dyDescent="0.25">
      <c r="A67" t="s">
        <v>100</v>
      </c>
      <c r="B67" t="s">
        <v>94</v>
      </c>
    </row>
    <row r="68" spans="1:4" x14ac:dyDescent="0.25">
      <c r="A68" t="s">
        <v>62</v>
      </c>
      <c r="B68" t="s">
        <v>94</v>
      </c>
    </row>
    <row r="69" spans="1:4" x14ac:dyDescent="0.25">
      <c r="A69" t="s">
        <v>63</v>
      </c>
      <c r="B69" t="s">
        <v>94</v>
      </c>
    </row>
    <row r="70" spans="1:4" x14ac:dyDescent="0.25">
      <c r="A70" t="s">
        <v>64</v>
      </c>
      <c r="B70" t="s">
        <v>94</v>
      </c>
    </row>
    <row r="71" spans="1:4" x14ac:dyDescent="0.25">
      <c r="A71" t="s">
        <v>65</v>
      </c>
      <c r="B71" t="s">
        <v>94</v>
      </c>
    </row>
    <row r="72" spans="1:4" x14ac:dyDescent="0.25">
      <c r="A72" t="s">
        <v>66</v>
      </c>
      <c r="B72" t="s">
        <v>94</v>
      </c>
      <c r="C72">
        <v>2</v>
      </c>
    </row>
    <row r="73" spans="1:4" x14ac:dyDescent="0.25">
      <c r="A73" t="s">
        <v>67</v>
      </c>
      <c r="B73" t="s">
        <v>94</v>
      </c>
      <c r="C73">
        <v>4</v>
      </c>
    </row>
    <row r="74" spans="1:4" x14ac:dyDescent="0.25">
      <c r="A74" t="s">
        <v>68</v>
      </c>
      <c r="B74" t="s">
        <v>94</v>
      </c>
    </row>
    <row r="76" spans="1:4" x14ac:dyDescent="0.25">
      <c r="A76" t="s">
        <v>114</v>
      </c>
      <c r="B76">
        <f>SUM(B3:B75)</f>
        <v>89</v>
      </c>
      <c r="C76">
        <f>SUM(C3:C75)</f>
        <v>15</v>
      </c>
    </row>
    <row r="78" spans="1:4" ht="15.75" x14ac:dyDescent="0.25">
      <c r="A78" s="2" t="s">
        <v>128</v>
      </c>
    </row>
    <row r="79" spans="1:4" x14ac:dyDescent="0.25">
      <c r="A79" t="s">
        <v>70</v>
      </c>
      <c r="B79">
        <v>23</v>
      </c>
      <c r="C79">
        <v>2</v>
      </c>
    </row>
    <row r="80" spans="1:4" x14ac:dyDescent="0.25">
      <c r="A80" t="s">
        <v>71</v>
      </c>
      <c r="B80">
        <v>14</v>
      </c>
      <c r="C80">
        <v>1</v>
      </c>
      <c r="D80" t="s">
        <v>142</v>
      </c>
    </row>
    <row r="81" spans="1:4" x14ac:dyDescent="0.25">
      <c r="A81" t="s">
        <v>72</v>
      </c>
      <c r="B81">
        <v>50</v>
      </c>
      <c r="C81">
        <v>2</v>
      </c>
    </row>
    <row r="82" spans="1:4" x14ac:dyDescent="0.25">
      <c r="A82" t="s">
        <v>137</v>
      </c>
      <c r="B82">
        <v>32</v>
      </c>
      <c r="C82">
        <v>1</v>
      </c>
    </row>
    <row r="83" spans="1:4" x14ac:dyDescent="0.25">
      <c r="A83" t="s">
        <v>74</v>
      </c>
      <c r="B83">
        <v>39</v>
      </c>
    </row>
    <row r="84" spans="1:4" x14ac:dyDescent="0.25">
      <c r="A84" t="s">
        <v>75</v>
      </c>
      <c r="B84">
        <v>58</v>
      </c>
      <c r="C84">
        <v>3</v>
      </c>
    </row>
    <row r="85" spans="1:4" x14ac:dyDescent="0.25">
      <c r="A85" t="s">
        <v>76</v>
      </c>
      <c r="B85">
        <v>40</v>
      </c>
      <c r="C85">
        <v>4</v>
      </c>
    </row>
    <row r="86" spans="1:4" x14ac:dyDescent="0.25">
      <c r="A86" t="s">
        <v>95</v>
      </c>
      <c r="B86">
        <v>53</v>
      </c>
    </row>
    <row r="87" spans="1:4" x14ac:dyDescent="0.25">
      <c r="A87" t="s">
        <v>77</v>
      </c>
      <c r="B87">
        <v>50</v>
      </c>
      <c r="C87">
        <v>4</v>
      </c>
    </row>
    <row r="88" spans="1:4" x14ac:dyDescent="0.25">
      <c r="A88" t="s">
        <v>78</v>
      </c>
      <c r="B88">
        <v>24</v>
      </c>
    </row>
    <row r="89" spans="1:4" x14ac:dyDescent="0.25">
      <c r="A89" t="s">
        <v>79</v>
      </c>
      <c r="B89">
        <v>45</v>
      </c>
      <c r="C89">
        <v>1</v>
      </c>
    </row>
    <row r="90" spans="1:4" x14ac:dyDescent="0.25">
      <c r="A90" t="s">
        <v>80</v>
      </c>
      <c r="B90">
        <v>50</v>
      </c>
    </row>
    <row r="91" spans="1:4" x14ac:dyDescent="0.25">
      <c r="A91" t="s">
        <v>81</v>
      </c>
      <c r="B91">
        <v>40</v>
      </c>
      <c r="C91">
        <v>1</v>
      </c>
      <c r="D91" t="s">
        <v>130</v>
      </c>
    </row>
    <row r="92" spans="1:4" x14ac:dyDescent="0.25">
      <c r="A92" t="s">
        <v>82</v>
      </c>
      <c r="B92">
        <v>37</v>
      </c>
      <c r="D92" t="s">
        <v>143</v>
      </c>
    </row>
    <row r="93" spans="1:4" x14ac:dyDescent="0.25">
      <c r="A93" t="s">
        <v>138</v>
      </c>
      <c r="B93">
        <v>22</v>
      </c>
      <c r="C93">
        <v>1</v>
      </c>
    </row>
    <row r="94" spans="1:4" x14ac:dyDescent="0.25">
      <c r="A94" t="s">
        <v>84</v>
      </c>
      <c r="B94">
        <v>51</v>
      </c>
      <c r="C94">
        <v>1</v>
      </c>
    </row>
    <row r="95" spans="1:4" x14ac:dyDescent="0.25">
      <c r="A95" t="s">
        <v>85</v>
      </c>
      <c r="B95">
        <v>50</v>
      </c>
      <c r="C95">
        <v>1</v>
      </c>
    </row>
    <row r="96" spans="1:4" x14ac:dyDescent="0.25">
      <c r="A96" t="s">
        <v>86</v>
      </c>
      <c r="B96">
        <v>55</v>
      </c>
      <c r="C96">
        <v>1</v>
      </c>
    </row>
    <row r="97" spans="1:4" x14ac:dyDescent="0.25">
      <c r="A97" t="s">
        <v>88</v>
      </c>
      <c r="B97">
        <v>46</v>
      </c>
    </row>
    <row r="98" spans="1:4" x14ac:dyDescent="0.25">
      <c r="A98" t="s">
        <v>87</v>
      </c>
      <c r="B98">
        <v>30</v>
      </c>
      <c r="C98">
        <v>2</v>
      </c>
      <c r="D98" t="s">
        <v>141</v>
      </c>
    </row>
    <row r="99" spans="1:4" x14ac:dyDescent="0.25">
      <c r="A99" t="s">
        <v>105</v>
      </c>
      <c r="B99">
        <v>60</v>
      </c>
      <c r="C99">
        <v>2</v>
      </c>
      <c r="D99" t="s">
        <v>145</v>
      </c>
    </row>
    <row r="100" spans="1:4" x14ac:dyDescent="0.25">
      <c r="A100" t="s">
        <v>89</v>
      </c>
      <c r="B100">
        <v>21</v>
      </c>
      <c r="C100">
        <v>1</v>
      </c>
    </row>
    <row r="101" spans="1:4" x14ac:dyDescent="0.25">
      <c r="A101" t="s">
        <v>90</v>
      </c>
      <c r="B101">
        <v>16</v>
      </c>
      <c r="C101">
        <v>4</v>
      </c>
    </row>
    <row r="103" spans="1:4" x14ac:dyDescent="0.25">
      <c r="A103" t="s">
        <v>120</v>
      </c>
      <c r="B103">
        <f>SUM(B79:B102)</f>
        <v>906</v>
      </c>
      <c r="C103">
        <f>SUM(C79:C102)</f>
        <v>32</v>
      </c>
    </row>
    <row r="105" spans="1:4" ht="15.75" x14ac:dyDescent="0.25">
      <c r="A105" s="2" t="s">
        <v>129</v>
      </c>
    </row>
    <row r="106" spans="1:4" x14ac:dyDescent="0.25">
      <c r="A106" t="s">
        <v>92</v>
      </c>
      <c r="B106">
        <v>60</v>
      </c>
      <c r="C106">
        <v>5</v>
      </c>
    </row>
    <row r="107" spans="1:4" x14ac:dyDescent="0.25">
      <c r="A107" t="s">
        <v>93</v>
      </c>
      <c r="B107">
        <v>63</v>
      </c>
      <c r="C107">
        <v>4</v>
      </c>
    </row>
    <row r="108" spans="1:4" x14ac:dyDescent="0.25">
      <c r="C108">
        <f>SUM(C106:C107)</f>
        <v>9</v>
      </c>
    </row>
    <row r="109" spans="1:4" x14ac:dyDescent="0.25">
      <c r="A109" t="s">
        <v>146</v>
      </c>
      <c r="C109">
        <v>51</v>
      </c>
    </row>
    <row r="110" spans="1:4" x14ac:dyDescent="0.25">
      <c r="A110" t="s">
        <v>123</v>
      </c>
      <c r="B110">
        <v>85</v>
      </c>
    </row>
    <row r="111" spans="1:4" x14ac:dyDescent="0.25">
      <c r="A111" t="s">
        <v>124</v>
      </c>
      <c r="B111">
        <v>54</v>
      </c>
    </row>
    <row r="112" spans="1:4" x14ac:dyDescent="0.25">
      <c r="A112" t="s">
        <v>108</v>
      </c>
      <c r="B112" t="s">
        <v>101</v>
      </c>
    </row>
    <row r="113" spans="1:2" x14ac:dyDescent="0.25">
      <c r="A113" t="s">
        <v>109</v>
      </c>
      <c r="B113">
        <v>2</v>
      </c>
    </row>
    <row r="114" spans="1:2" x14ac:dyDescent="0.25">
      <c r="A114" t="s">
        <v>110</v>
      </c>
      <c r="B114">
        <v>0</v>
      </c>
    </row>
    <row r="115" spans="1:2" x14ac:dyDescent="0.25">
      <c r="A115" t="s">
        <v>111</v>
      </c>
      <c r="B115">
        <v>23</v>
      </c>
    </row>
    <row r="116" spans="1:2" x14ac:dyDescent="0.25">
      <c r="A116" t="s">
        <v>112</v>
      </c>
      <c r="B116">
        <v>32</v>
      </c>
    </row>
    <row r="117" spans="1:2" x14ac:dyDescent="0.25">
      <c r="A117" t="s">
        <v>113</v>
      </c>
      <c r="B117">
        <v>96</v>
      </c>
    </row>
    <row r="118" spans="1:2" x14ac:dyDescent="0.25">
      <c r="A118" t="s">
        <v>122</v>
      </c>
      <c r="B118">
        <v>50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9CAD8-7949-4271-8F8E-1BB054638EE2}">
  <sheetPr codeName="Planilha5"/>
  <dimension ref="A1:D117"/>
  <sheetViews>
    <sheetView workbookViewId="0">
      <selection sqref="A1:D118"/>
    </sheetView>
  </sheetViews>
  <sheetFormatPr defaultRowHeight="15" x14ac:dyDescent="0.25"/>
  <cols>
    <col min="1" max="1" width="36.140625" customWidth="1"/>
    <col min="2" max="2" width="12.42578125" customWidth="1"/>
    <col min="4" max="4" width="30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99</v>
      </c>
    </row>
    <row r="2" spans="1:4" ht="15.75" x14ac:dyDescent="0.25">
      <c r="A2" s="1" t="s">
        <v>125</v>
      </c>
      <c r="B2" t="s">
        <v>118</v>
      </c>
    </row>
    <row r="3" spans="1:4" ht="15.75" x14ac:dyDescent="0.25">
      <c r="A3" s="3" t="s">
        <v>147</v>
      </c>
      <c r="B3" t="s">
        <v>94</v>
      </c>
      <c r="C3">
        <v>2</v>
      </c>
    </row>
    <row r="4" spans="1:4" x14ac:dyDescent="0.25">
      <c r="A4" t="s">
        <v>7</v>
      </c>
      <c r="B4" t="s">
        <v>94</v>
      </c>
    </row>
    <row r="5" spans="1:4" x14ac:dyDescent="0.25">
      <c r="A5" t="s">
        <v>8</v>
      </c>
      <c r="B5" t="s">
        <v>94</v>
      </c>
    </row>
    <row r="6" spans="1:4" x14ac:dyDescent="0.25">
      <c r="A6" t="s">
        <v>103</v>
      </c>
      <c r="B6" t="s">
        <v>94</v>
      </c>
    </row>
    <row r="7" spans="1:4" x14ac:dyDescent="0.25">
      <c r="A7" t="s">
        <v>9</v>
      </c>
      <c r="B7" t="s">
        <v>94</v>
      </c>
    </row>
    <row r="8" spans="1:4" x14ac:dyDescent="0.25">
      <c r="A8" t="s">
        <v>10</v>
      </c>
      <c r="D8" t="s">
        <v>104</v>
      </c>
    </row>
    <row r="9" spans="1:4" x14ac:dyDescent="0.25">
      <c r="A9" t="s">
        <v>11</v>
      </c>
      <c r="B9" t="s">
        <v>94</v>
      </c>
    </row>
    <row r="10" spans="1:4" x14ac:dyDescent="0.25">
      <c r="A10" t="s">
        <v>12</v>
      </c>
      <c r="B10" t="s">
        <v>94</v>
      </c>
    </row>
    <row r="11" spans="1:4" x14ac:dyDescent="0.25">
      <c r="A11" t="s">
        <v>131</v>
      </c>
      <c r="B11" t="s">
        <v>94</v>
      </c>
      <c r="C11">
        <v>1</v>
      </c>
    </row>
    <row r="12" spans="1:4" x14ac:dyDescent="0.25">
      <c r="A12" t="s">
        <v>13</v>
      </c>
      <c r="B12" t="s">
        <v>94</v>
      </c>
      <c r="C12">
        <v>1</v>
      </c>
    </row>
    <row r="13" spans="1:4" x14ac:dyDescent="0.25">
      <c r="A13" t="s">
        <v>14</v>
      </c>
      <c r="B13" t="s">
        <v>94</v>
      </c>
      <c r="C13">
        <v>1</v>
      </c>
    </row>
    <row r="14" spans="1:4" x14ac:dyDescent="0.25">
      <c r="A14" t="s">
        <v>17</v>
      </c>
      <c r="D14" t="s">
        <v>104</v>
      </c>
    </row>
    <row r="15" spans="1:4" x14ac:dyDescent="0.25">
      <c r="A15" t="s">
        <v>15</v>
      </c>
      <c r="B15" t="s">
        <v>94</v>
      </c>
    </row>
    <row r="18" spans="1:4" ht="15.75" x14ac:dyDescent="0.25">
      <c r="A18" s="2" t="s">
        <v>126</v>
      </c>
    </row>
    <row r="19" spans="1:4" x14ac:dyDescent="0.25">
      <c r="A19" t="s">
        <v>18</v>
      </c>
      <c r="B19" t="s">
        <v>94</v>
      </c>
    </row>
    <row r="20" spans="1:4" x14ac:dyDescent="0.25">
      <c r="A20" t="s">
        <v>19</v>
      </c>
      <c r="B20" t="s">
        <v>101</v>
      </c>
      <c r="D20" t="s">
        <v>104</v>
      </c>
    </row>
    <row r="21" spans="1:4" x14ac:dyDescent="0.25">
      <c r="A21" t="s">
        <v>21</v>
      </c>
      <c r="B21" t="s">
        <v>94</v>
      </c>
    </row>
    <row r="22" spans="1:4" x14ac:dyDescent="0.25">
      <c r="A22" t="s">
        <v>22</v>
      </c>
      <c r="B22" t="s">
        <v>94</v>
      </c>
    </row>
    <row r="23" spans="1:4" x14ac:dyDescent="0.25">
      <c r="A23" t="s">
        <v>23</v>
      </c>
      <c r="B23" t="s">
        <v>94</v>
      </c>
    </row>
    <row r="24" spans="1:4" x14ac:dyDescent="0.25">
      <c r="A24" t="s">
        <v>24</v>
      </c>
      <c r="B24" t="s">
        <v>94</v>
      </c>
    </row>
    <row r="25" spans="1:4" x14ac:dyDescent="0.25">
      <c r="A25" t="s">
        <v>25</v>
      </c>
      <c r="B25" t="s">
        <v>94</v>
      </c>
    </row>
    <row r="26" spans="1:4" x14ac:dyDescent="0.25">
      <c r="A26" t="s">
        <v>26</v>
      </c>
      <c r="B26" t="s">
        <v>94</v>
      </c>
    </row>
    <row r="27" spans="1:4" x14ac:dyDescent="0.25">
      <c r="A27" t="s">
        <v>27</v>
      </c>
      <c r="B27" t="s">
        <v>94</v>
      </c>
    </row>
    <row r="28" spans="1:4" x14ac:dyDescent="0.25">
      <c r="A28" t="s">
        <v>28</v>
      </c>
      <c r="B28" t="s">
        <v>94</v>
      </c>
    </row>
    <row r="29" spans="1:4" x14ac:dyDescent="0.25">
      <c r="A29" t="s">
        <v>29</v>
      </c>
      <c r="B29" t="s">
        <v>94</v>
      </c>
    </row>
    <row r="30" spans="1:4" x14ac:dyDescent="0.25">
      <c r="A30" t="s">
        <v>30</v>
      </c>
      <c r="B30">
        <v>19</v>
      </c>
    </row>
    <row r="31" spans="1:4" x14ac:dyDescent="0.25">
      <c r="A31" t="s">
        <v>31</v>
      </c>
      <c r="B31" t="s">
        <v>94</v>
      </c>
    </row>
    <row r="32" spans="1:4" x14ac:dyDescent="0.25">
      <c r="A32" t="s">
        <v>69</v>
      </c>
      <c r="B32" t="s">
        <v>94</v>
      </c>
    </row>
    <row r="33" spans="1:4" x14ac:dyDescent="0.25">
      <c r="A33" t="s">
        <v>53</v>
      </c>
      <c r="B33" t="s">
        <v>94</v>
      </c>
    </row>
    <row r="35" spans="1:4" ht="15.75" x14ac:dyDescent="0.25">
      <c r="A35" s="2" t="s">
        <v>33</v>
      </c>
    </row>
    <row r="36" spans="1:4" x14ac:dyDescent="0.25">
      <c r="A36" t="s">
        <v>132</v>
      </c>
      <c r="B36" t="s">
        <v>94</v>
      </c>
    </row>
    <row r="37" spans="1:4" x14ac:dyDescent="0.25">
      <c r="A37" t="s">
        <v>35</v>
      </c>
      <c r="B37" t="s">
        <v>94</v>
      </c>
    </row>
    <row r="38" spans="1:4" x14ac:dyDescent="0.25">
      <c r="A38" t="s">
        <v>150</v>
      </c>
      <c r="B38" t="s">
        <v>94</v>
      </c>
    </row>
    <row r="39" spans="1:4" x14ac:dyDescent="0.25">
      <c r="A39" t="s">
        <v>149</v>
      </c>
      <c r="B39" t="s">
        <v>94</v>
      </c>
    </row>
    <row r="40" spans="1:4" x14ac:dyDescent="0.25">
      <c r="A40" t="s">
        <v>37</v>
      </c>
      <c r="B40" t="s">
        <v>94</v>
      </c>
    </row>
    <row r="41" spans="1:4" x14ac:dyDescent="0.25">
      <c r="A41" t="s">
        <v>139</v>
      </c>
      <c r="D41" t="s">
        <v>104</v>
      </c>
    </row>
    <row r="42" spans="1:4" x14ac:dyDescent="0.25">
      <c r="A42" t="s">
        <v>151</v>
      </c>
      <c r="B42" t="s">
        <v>94</v>
      </c>
    </row>
    <row r="43" spans="1:4" x14ac:dyDescent="0.25">
      <c r="A43" t="s">
        <v>134</v>
      </c>
      <c r="B43" t="s">
        <v>94</v>
      </c>
    </row>
    <row r="44" spans="1:4" x14ac:dyDescent="0.25">
      <c r="A44" t="s">
        <v>40</v>
      </c>
      <c r="B44" t="s">
        <v>94</v>
      </c>
    </row>
    <row r="45" spans="1:4" x14ac:dyDescent="0.25">
      <c r="A45" t="s">
        <v>135</v>
      </c>
      <c r="B45" t="s">
        <v>94</v>
      </c>
    </row>
    <row r="46" spans="1:4" x14ac:dyDescent="0.25">
      <c r="A46" t="s">
        <v>42</v>
      </c>
      <c r="B46" t="s">
        <v>94</v>
      </c>
    </row>
    <row r="47" spans="1:4" x14ac:dyDescent="0.25">
      <c r="A47" t="s">
        <v>43</v>
      </c>
      <c r="B47" t="s">
        <v>94</v>
      </c>
    </row>
    <row r="48" spans="1:4" x14ac:dyDescent="0.25">
      <c r="A48" t="s">
        <v>44</v>
      </c>
      <c r="B48" t="s">
        <v>94</v>
      </c>
    </row>
    <row r="49" spans="1:3" x14ac:dyDescent="0.25">
      <c r="A49" t="s">
        <v>45</v>
      </c>
      <c r="B49" t="s">
        <v>94</v>
      </c>
    </row>
    <row r="50" spans="1:3" x14ac:dyDescent="0.25">
      <c r="A50" t="s">
        <v>46</v>
      </c>
      <c r="B50" t="s">
        <v>94</v>
      </c>
    </row>
    <row r="51" spans="1:3" x14ac:dyDescent="0.25">
      <c r="A51" t="s">
        <v>78</v>
      </c>
      <c r="B51" t="s">
        <v>94</v>
      </c>
    </row>
    <row r="52" spans="1:3" x14ac:dyDescent="0.25">
      <c r="A52" t="s">
        <v>89</v>
      </c>
      <c r="B52" t="s">
        <v>94</v>
      </c>
      <c r="C52">
        <v>1</v>
      </c>
    </row>
    <row r="54" spans="1:3" ht="15.75" x14ac:dyDescent="0.25">
      <c r="A54" s="2" t="s">
        <v>47</v>
      </c>
    </row>
    <row r="55" spans="1:3" x14ac:dyDescent="0.25">
      <c r="A55" t="s">
        <v>136</v>
      </c>
      <c r="B55" t="s">
        <v>94</v>
      </c>
    </row>
    <row r="56" spans="1:3" x14ac:dyDescent="0.25">
      <c r="A56" t="s">
        <v>49</v>
      </c>
      <c r="B56" t="s">
        <v>94</v>
      </c>
    </row>
    <row r="57" spans="1:3" x14ac:dyDescent="0.25">
      <c r="A57" t="s">
        <v>50</v>
      </c>
      <c r="B57" t="s">
        <v>94</v>
      </c>
      <c r="C57">
        <v>1</v>
      </c>
    </row>
    <row r="58" spans="1:3" x14ac:dyDescent="0.25">
      <c r="A58" t="s">
        <v>51</v>
      </c>
      <c r="B58" t="s">
        <v>94</v>
      </c>
    </row>
    <row r="59" spans="1:3" x14ac:dyDescent="0.25">
      <c r="A59" t="s">
        <v>52</v>
      </c>
      <c r="B59" t="s">
        <v>94</v>
      </c>
    </row>
    <row r="60" spans="1:3" x14ac:dyDescent="0.25">
      <c r="A60" t="s">
        <v>57</v>
      </c>
      <c r="B60" t="s">
        <v>94</v>
      </c>
    </row>
    <row r="61" spans="1:3" x14ac:dyDescent="0.25">
      <c r="A61" t="s">
        <v>54</v>
      </c>
      <c r="B61" t="s">
        <v>94</v>
      </c>
    </row>
    <row r="62" spans="1:3" x14ac:dyDescent="0.25">
      <c r="A62" t="s">
        <v>55</v>
      </c>
      <c r="B62" t="s">
        <v>94</v>
      </c>
    </row>
    <row r="63" spans="1:3" x14ac:dyDescent="0.25">
      <c r="A63" t="s">
        <v>56</v>
      </c>
      <c r="B63" t="s">
        <v>94</v>
      </c>
    </row>
    <row r="64" spans="1:3" x14ac:dyDescent="0.25">
      <c r="A64" t="s">
        <v>58</v>
      </c>
      <c r="B64" t="s">
        <v>94</v>
      </c>
      <c r="C64">
        <v>1</v>
      </c>
    </row>
    <row r="65" spans="1:3" x14ac:dyDescent="0.25">
      <c r="A65" t="s">
        <v>75</v>
      </c>
      <c r="B65" t="s">
        <v>94</v>
      </c>
      <c r="C65">
        <v>2</v>
      </c>
    </row>
    <row r="66" spans="1:3" x14ac:dyDescent="0.25">
      <c r="A66" t="s">
        <v>86</v>
      </c>
      <c r="B66" t="s">
        <v>94</v>
      </c>
    </row>
    <row r="68" spans="1:3" ht="15.75" x14ac:dyDescent="0.25">
      <c r="A68" s="2" t="s">
        <v>127</v>
      </c>
    </row>
    <row r="69" spans="1:3" x14ac:dyDescent="0.25">
      <c r="A69" t="s">
        <v>60</v>
      </c>
      <c r="B69" t="s">
        <v>94</v>
      </c>
    </row>
    <row r="70" spans="1:3" x14ac:dyDescent="0.25">
      <c r="A70" t="s">
        <v>61</v>
      </c>
      <c r="B70" t="s">
        <v>94</v>
      </c>
    </row>
    <row r="71" spans="1:3" x14ac:dyDescent="0.25">
      <c r="A71" t="s">
        <v>100</v>
      </c>
      <c r="B71" t="s">
        <v>94</v>
      </c>
    </row>
    <row r="72" spans="1:3" x14ac:dyDescent="0.25">
      <c r="A72" t="s">
        <v>62</v>
      </c>
      <c r="B72" t="s">
        <v>94</v>
      </c>
    </row>
    <row r="73" spans="1:3" x14ac:dyDescent="0.25">
      <c r="A73" t="s">
        <v>63</v>
      </c>
      <c r="B73" t="s">
        <v>94</v>
      </c>
    </row>
    <row r="74" spans="1:3" x14ac:dyDescent="0.25">
      <c r="A74" t="s">
        <v>64</v>
      </c>
      <c r="B74" t="s">
        <v>94</v>
      </c>
    </row>
    <row r="75" spans="1:3" x14ac:dyDescent="0.25">
      <c r="A75" t="s">
        <v>65</v>
      </c>
      <c r="B75" t="s">
        <v>94</v>
      </c>
    </row>
    <row r="76" spans="1:3" x14ac:dyDescent="0.25">
      <c r="A76" t="s">
        <v>66</v>
      </c>
      <c r="B76" t="s">
        <v>94</v>
      </c>
      <c r="C76">
        <v>2</v>
      </c>
    </row>
    <row r="77" spans="1:3" x14ac:dyDescent="0.25">
      <c r="A77" t="s">
        <v>67</v>
      </c>
      <c r="B77" t="s">
        <v>94</v>
      </c>
      <c r="C77">
        <v>4</v>
      </c>
    </row>
    <row r="78" spans="1:3" x14ac:dyDescent="0.25">
      <c r="A78" t="s">
        <v>68</v>
      </c>
      <c r="B78" t="s">
        <v>94</v>
      </c>
      <c r="C78">
        <v>1</v>
      </c>
    </row>
    <row r="80" spans="1:3" x14ac:dyDescent="0.25">
      <c r="A80" t="s">
        <v>114</v>
      </c>
      <c r="B80">
        <f>SUM(B3:B79)</f>
        <v>19</v>
      </c>
      <c r="C80">
        <f>SUM(C3:C79)</f>
        <v>17</v>
      </c>
    </row>
    <row r="82" spans="1:4" ht="15.75" x14ac:dyDescent="0.25">
      <c r="A82" s="2" t="s">
        <v>128</v>
      </c>
    </row>
    <row r="83" spans="1:4" x14ac:dyDescent="0.25">
      <c r="A83" t="s">
        <v>71</v>
      </c>
      <c r="B83">
        <v>12</v>
      </c>
      <c r="C83">
        <v>1</v>
      </c>
    </row>
    <row r="84" spans="1:4" x14ac:dyDescent="0.25">
      <c r="A84" t="s">
        <v>72</v>
      </c>
      <c r="B84">
        <v>53</v>
      </c>
      <c r="C84">
        <v>2</v>
      </c>
    </row>
    <row r="85" spans="1:4" x14ac:dyDescent="0.25">
      <c r="A85" t="s">
        <v>137</v>
      </c>
      <c r="B85">
        <v>32</v>
      </c>
      <c r="C85">
        <v>1</v>
      </c>
    </row>
    <row r="86" spans="1:4" x14ac:dyDescent="0.25">
      <c r="A86" t="s">
        <v>74</v>
      </c>
      <c r="B86">
        <v>22</v>
      </c>
    </row>
    <row r="87" spans="1:4" x14ac:dyDescent="0.25">
      <c r="A87" t="s">
        <v>76</v>
      </c>
      <c r="B87">
        <v>25</v>
      </c>
      <c r="C87">
        <v>4</v>
      </c>
      <c r="D87" t="s">
        <v>153</v>
      </c>
    </row>
    <row r="88" spans="1:4" x14ac:dyDescent="0.25">
      <c r="A88" t="s">
        <v>95</v>
      </c>
      <c r="B88">
        <v>51</v>
      </c>
    </row>
    <row r="89" spans="1:4" x14ac:dyDescent="0.25">
      <c r="A89" t="s">
        <v>77</v>
      </c>
      <c r="B89">
        <v>30</v>
      </c>
      <c r="C89">
        <v>4</v>
      </c>
      <c r="D89" t="s">
        <v>154</v>
      </c>
    </row>
    <row r="90" spans="1:4" x14ac:dyDescent="0.25">
      <c r="A90" t="s">
        <v>79</v>
      </c>
      <c r="B90">
        <v>45</v>
      </c>
      <c r="C90">
        <v>2</v>
      </c>
    </row>
    <row r="91" spans="1:4" x14ac:dyDescent="0.25">
      <c r="A91" t="s">
        <v>80</v>
      </c>
      <c r="B91">
        <v>52</v>
      </c>
    </row>
    <row r="92" spans="1:4" x14ac:dyDescent="0.25">
      <c r="A92" t="s">
        <v>81</v>
      </c>
      <c r="B92">
        <v>50</v>
      </c>
      <c r="C92">
        <v>2</v>
      </c>
      <c r="D92" t="s">
        <v>152</v>
      </c>
    </row>
    <row r="93" spans="1:4" x14ac:dyDescent="0.25">
      <c r="A93" t="s">
        <v>82</v>
      </c>
      <c r="B93">
        <v>27</v>
      </c>
      <c r="C93" t="s">
        <v>101</v>
      </c>
    </row>
    <row r="94" spans="1:4" x14ac:dyDescent="0.25">
      <c r="A94" t="s">
        <v>138</v>
      </c>
      <c r="B94">
        <v>15</v>
      </c>
      <c r="C94">
        <v>1</v>
      </c>
    </row>
    <row r="95" spans="1:4" x14ac:dyDescent="0.25">
      <c r="A95" t="s">
        <v>84</v>
      </c>
      <c r="B95">
        <v>51</v>
      </c>
      <c r="C95">
        <v>1</v>
      </c>
    </row>
    <row r="96" spans="1:4" x14ac:dyDescent="0.25">
      <c r="A96" t="s">
        <v>85</v>
      </c>
      <c r="B96">
        <v>50</v>
      </c>
      <c r="C96">
        <v>1</v>
      </c>
    </row>
    <row r="97" spans="1:4" x14ac:dyDescent="0.25">
      <c r="A97" t="s">
        <v>88</v>
      </c>
      <c r="B97">
        <v>21</v>
      </c>
    </row>
    <row r="98" spans="1:4" x14ac:dyDescent="0.25">
      <c r="A98" t="s">
        <v>87</v>
      </c>
      <c r="B98">
        <v>12</v>
      </c>
    </row>
    <row r="99" spans="1:4" x14ac:dyDescent="0.25">
      <c r="A99" t="s">
        <v>105</v>
      </c>
      <c r="B99">
        <v>15</v>
      </c>
      <c r="C99">
        <v>2</v>
      </c>
      <c r="D99" t="s">
        <v>148</v>
      </c>
    </row>
    <row r="100" spans="1:4" x14ac:dyDescent="0.25">
      <c r="A100" t="s">
        <v>90</v>
      </c>
      <c r="B100">
        <v>10</v>
      </c>
      <c r="C100">
        <v>3</v>
      </c>
    </row>
    <row r="102" spans="1:4" x14ac:dyDescent="0.25">
      <c r="A102" t="s">
        <v>120</v>
      </c>
      <c r="B102">
        <f>SUM(B83:B101)</f>
        <v>573</v>
      </c>
      <c r="C102">
        <f>SUM(C83:C101)</f>
        <v>24</v>
      </c>
    </row>
    <row r="104" spans="1:4" ht="15.75" x14ac:dyDescent="0.25">
      <c r="A104" s="2" t="s">
        <v>129</v>
      </c>
    </row>
    <row r="105" spans="1:4" x14ac:dyDescent="0.25">
      <c r="A105" t="s">
        <v>92</v>
      </c>
      <c r="B105">
        <v>56</v>
      </c>
      <c r="C105">
        <v>4</v>
      </c>
    </row>
    <row r="106" spans="1:4" x14ac:dyDescent="0.25">
      <c r="A106" t="s">
        <v>93</v>
      </c>
      <c r="B106">
        <v>63</v>
      </c>
      <c r="C106">
        <v>4</v>
      </c>
    </row>
    <row r="109" spans="1:4" x14ac:dyDescent="0.25">
      <c r="A109" t="s">
        <v>123</v>
      </c>
      <c r="B109">
        <v>88</v>
      </c>
    </row>
    <row r="110" spans="1:4" x14ac:dyDescent="0.25">
      <c r="A110" t="s">
        <v>124</v>
      </c>
      <c r="B110">
        <v>63</v>
      </c>
    </row>
    <row r="111" spans="1:4" x14ac:dyDescent="0.25">
      <c r="A111" t="s">
        <v>108</v>
      </c>
      <c r="B111">
        <v>17</v>
      </c>
    </row>
    <row r="112" spans="1:4" x14ac:dyDescent="0.25">
      <c r="A112" t="s">
        <v>109</v>
      </c>
      <c r="B112">
        <v>1</v>
      </c>
    </row>
    <row r="113" spans="1:2" x14ac:dyDescent="0.25">
      <c r="A113" t="s">
        <v>110</v>
      </c>
      <c r="B113">
        <v>0</v>
      </c>
    </row>
    <row r="114" spans="1:2" x14ac:dyDescent="0.25">
      <c r="A114" t="s">
        <v>111</v>
      </c>
      <c r="B114">
        <v>18</v>
      </c>
    </row>
    <row r="115" spans="1:2" x14ac:dyDescent="0.25">
      <c r="A115" t="s">
        <v>112</v>
      </c>
      <c r="B115">
        <v>24</v>
      </c>
    </row>
    <row r="116" spans="1:2" x14ac:dyDescent="0.25">
      <c r="A116" t="s">
        <v>113</v>
      </c>
      <c r="B116">
        <v>95</v>
      </c>
    </row>
    <row r="117" spans="1:2" x14ac:dyDescent="0.25">
      <c r="A117" t="s">
        <v>122</v>
      </c>
      <c r="B117">
        <v>49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A958F-86C1-4484-B44A-848FD337561D}">
  <sheetPr codeName="Planilha6"/>
  <dimension ref="A1:G117"/>
  <sheetViews>
    <sheetView topLeftCell="A95" workbookViewId="0">
      <selection activeCell="C109" sqref="C109"/>
    </sheetView>
  </sheetViews>
  <sheetFormatPr defaultRowHeight="15" x14ac:dyDescent="0.25"/>
  <cols>
    <col min="1" max="1" width="28.140625" customWidth="1"/>
    <col min="2" max="2" width="13.140625" customWidth="1"/>
    <col min="4" max="4" width="30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99</v>
      </c>
    </row>
    <row r="2" spans="1:7" ht="15.75" x14ac:dyDescent="0.25">
      <c r="A2" s="1" t="s">
        <v>125</v>
      </c>
      <c r="B2" t="s">
        <v>118</v>
      </c>
    </row>
    <row r="3" spans="1:7" ht="15.75" x14ac:dyDescent="0.25">
      <c r="A3" s="3" t="s">
        <v>147</v>
      </c>
      <c r="B3">
        <v>15</v>
      </c>
      <c r="C3">
        <v>2</v>
      </c>
    </row>
    <row r="4" spans="1:7" x14ac:dyDescent="0.25">
      <c r="A4" t="s">
        <v>7</v>
      </c>
      <c r="B4">
        <v>59</v>
      </c>
    </row>
    <row r="5" spans="1:7" x14ac:dyDescent="0.25">
      <c r="A5" t="s">
        <v>8</v>
      </c>
      <c r="B5">
        <v>15</v>
      </c>
      <c r="G5">
        <v>77</v>
      </c>
    </row>
    <row r="6" spans="1:7" x14ac:dyDescent="0.25">
      <c r="A6" t="s">
        <v>103</v>
      </c>
      <c r="B6" t="s">
        <v>94</v>
      </c>
    </row>
    <row r="7" spans="1:7" x14ac:dyDescent="0.25">
      <c r="A7" t="s">
        <v>9</v>
      </c>
      <c r="B7" t="s">
        <v>94</v>
      </c>
    </row>
    <row r="8" spans="1:7" x14ac:dyDescent="0.25">
      <c r="A8" t="s">
        <v>10</v>
      </c>
      <c r="D8" t="s">
        <v>104</v>
      </c>
    </row>
    <row r="9" spans="1:7" x14ac:dyDescent="0.25">
      <c r="A9" t="s">
        <v>11</v>
      </c>
      <c r="D9" t="s">
        <v>104</v>
      </c>
    </row>
    <row r="10" spans="1:7" x14ac:dyDescent="0.25">
      <c r="A10" t="s">
        <v>12</v>
      </c>
      <c r="B10" t="s">
        <v>94</v>
      </c>
    </row>
    <row r="11" spans="1:7" x14ac:dyDescent="0.25">
      <c r="A11" t="s">
        <v>131</v>
      </c>
      <c r="B11" t="s">
        <v>94</v>
      </c>
    </row>
    <row r="12" spans="1:7" x14ac:dyDescent="0.25">
      <c r="A12" t="s">
        <v>13</v>
      </c>
      <c r="B12" t="s">
        <v>94</v>
      </c>
    </row>
    <row r="13" spans="1:7" x14ac:dyDescent="0.25">
      <c r="A13" t="s">
        <v>14</v>
      </c>
      <c r="B13" t="s">
        <v>94</v>
      </c>
    </row>
    <row r="14" spans="1:7" x14ac:dyDescent="0.25">
      <c r="A14" t="s">
        <v>17</v>
      </c>
      <c r="D14" t="s">
        <v>104</v>
      </c>
    </row>
    <row r="15" spans="1:7" x14ac:dyDescent="0.25">
      <c r="A15" t="s">
        <v>15</v>
      </c>
      <c r="B15" t="s">
        <v>94</v>
      </c>
    </row>
    <row r="18" spans="1:4" ht="15.75" x14ac:dyDescent="0.25">
      <c r="A18" s="2" t="s">
        <v>126</v>
      </c>
    </row>
    <row r="19" spans="1:4" x14ac:dyDescent="0.25">
      <c r="A19" t="s">
        <v>18</v>
      </c>
      <c r="B19" t="s">
        <v>94</v>
      </c>
    </row>
    <row r="20" spans="1:4" x14ac:dyDescent="0.25">
      <c r="A20" t="s">
        <v>19</v>
      </c>
      <c r="D20" t="s">
        <v>104</v>
      </c>
    </row>
    <row r="21" spans="1:4" x14ac:dyDescent="0.25">
      <c r="A21" t="s">
        <v>21</v>
      </c>
      <c r="B21" t="s">
        <v>94</v>
      </c>
    </row>
    <row r="22" spans="1:4" x14ac:dyDescent="0.25">
      <c r="A22" t="s">
        <v>22</v>
      </c>
      <c r="B22" t="s">
        <v>94</v>
      </c>
    </row>
    <row r="23" spans="1:4" x14ac:dyDescent="0.25">
      <c r="A23" t="s">
        <v>23</v>
      </c>
      <c r="B23">
        <v>18</v>
      </c>
    </row>
    <row r="24" spans="1:4" x14ac:dyDescent="0.25">
      <c r="A24" t="s">
        <v>24</v>
      </c>
    </row>
    <row r="25" spans="1:4" x14ac:dyDescent="0.25">
      <c r="A25" t="s">
        <v>25</v>
      </c>
      <c r="B25" t="s">
        <v>94</v>
      </c>
    </row>
    <row r="26" spans="1:4" x14ac:dyDescent="0.25">
      <c r="A26" t="s">
        <v>26</v>
      </c>
      <c r="B26" t="s">
        <v>94</v>
      </c>
    </row>
    <row r="27" spans="1:4" x14ac:dyDescent="0.25">
      <c r="A27" t="s">
        <v>27</v>
      </c>
      <c r="B27">
        <v>15</v>
      </c>
    </row>
    <row r="28" spans="1:4" x14ac:dyDescent="0.25">
      <c r="A28" t="s">
        <v>28</v>
      </c>
      <c r="B28">
        <v>15</v>
      </c>
    </row>
    <row r="29" spans="1:4" x14ac:dyDescent="0.25">
      <c r="A29" t="s">
        <v>29</v>
      </c>
      <c r="B29">
        <v>15</v>
      </c>
    </row>
    <row r="30" spans="1:4" x14ac:dyDescent="0.25">
      <c r="A30" t="s">
        <v>30</v>
      </c>
      <c r="B30">
        <v>16</v>
      </c>
    </row>
    <row r="31" spans="1:4" x14ac:dyDescent="0.25">
      <c r="A31" t="s">
        <v>69</v>
      </c>
      <c r="B31" t="s">
        <v>94</v>
      </c>
    </row>
    <row r="32" spans="1:4" x14ac:dyDescent="0.25">
      <c r="A32" t="s">
        <v>53</v>
      </c>
      <c r="B32" t="s">
        <v>94</v>
      </c>
    </row>
    <row r="34" spans="1:4" ht="15.75" x14ac:dyDescent="0.25">
      <c r="A34" s="2" t="s">
        <v>33</v>
      </c>
    </row>
    <row r="35" spans="1:4" x14ac:dyDescent="0.25">
      <c r="A35" t="s">
        <v>132</v>
      </c>
      <c r="B35" t="s">
        <v>94</v>
      </c>
    </row>
    <row r="36" spans="1:4" x14ac:dyDescent="0.25">
      <c r="A36" t="s">
        <v>35</v>
      </c>
      <c r="B36" t="s">
        <v>94</v>
      </c>
    </row>
    <row r="37" spans="1:4" x14ac:dyDescent="0.25">
      <c r="A37" t="s">
        <v>150</v>
      </c>
      <c r="B37" t="s">
        <v>94</v>
      </c>
    </row>
    <row r="38" spans="1:4" x14ac:dyDescent="0.25">
      <c r="A38" t="s">
        <v>149</v>
      </c>
      <c r="B38" t="s">
        <v>94</v>
      </c>
    </row>
    <row r="39" spans="1:4" x14ac:dyDescent="0.25">
      <c r="A39" t="s">
        <v>37</v>
      </c>
      <c r="B39" t="s">
        <v>94</v>
      </c>
    </row>
    <row r="40" spans="1:4" x14ac:dyDescent="0.25">
      <c r="A40" t="s">
        <v>139</v>
      </c>
      <c r="D40" t="s">
        <v>155</v>
      </c>
    </row>
    <row r="41" spans="1:4" x14ac:dyDescent="0.25">
      <c r="A41" t="s">
        <v>151</v>
      </c>
      <c r="B41" t="s">
        <v>94</v>
      </c>
    </row>
    <row r="42" spans="1:4" x14ac:dyDescent="0.25">
      <c r="A42" t="s">
        <v>134</v>
      </c>
      <c r="B42" t="s">
        <v>94</v>
      </c>
    </row>
    <row r="43" spans="1:4" x14ac:dyDescent="0.25">
      <c r="A43" t="s">
        <v>40</v>
      </c>
      <c r="B43" t="s">
        <v>94</v>
      </c>
    </row>
    <row r="44" spans="1:4" x14ac:dyDescent="0.25">
      <c r="A44" t="s">
        <v>135</v>
      </c>
      <c r="B44" t="s">
        <v>94</v>
      </c>
    </row>
    <row r="45" spans="1:4" x14ac:dyDescent="0.25">
      <c r="A45" t="s">
        <v>42</v>
      </c>
      <c r="B45" t="s">
        <v>94</v>
      </c>
    </row>
    <row r="46" spans="1:4" x14ac:dyDescent="0.25">
      <c r="A46" t="s">
        <v>43</v>
      </c>
      <c r="B46" t="s">
        <v>94</v>
      </c>
    </row>
    <row r="47" spans="1:4" x14ac:dyDescent="0.25">
      <c r="A47" t="s">
        <v>44</v>
      </c>
      <c r="B47" t="s">
        <v>94</v>
      </c>
    </row>
    <row r="48" spans="1:4" x14ac:dyDescent="0.25">
      <c r="A48" t="s">
        <v>45</v>
      </c>
      <c r="B48" t="s">
        <v>94</v>
      </c>
    </row>
    <row r="49" spans="1:3" x14ac:dyDescent="0.25">
      <c r="A49" t="s">
        <v>46</v>
      </c>
      <c r="B49" t="s">
        <v>94</v>
      </c>
    </row>
    <row r="50" spans="1:3" x14ac:dyDescent="0.25">
      <c r="A50" t="s">
        <v>78</v>
      </c>
      <c r="B50" t="s">
        <v>94</v>
      </c>
    </row>
    <row r="51" spans="1:3" x14ac:dyDescent="0.25">
      <c r="A51" t="s">
        <v>89</v>
      </c>
      <c r="B51" t="s">
        <v>94</v>
      </c>
      <c r="C51">
        <v>1</v>
      </c>
    </row>
    <row r="53" spans="1:3" ht="15.75" x14ac:dyDescent="0.25">
      <c r="A53" s="2" t="s">
        <v>47</v>
      </c>
    </row>
    <row r="54" spans="1:3" x14ac:dyDescent="0.25">
      <c r="A54" t="s">
        <v>136</v>
      </c>
      <c r="B54" t="s">
        <v>94</v>
      </c>
    </row>
    <row r="55" spans="1:3" x14ac:dyDescent="0.25">
      <c r="A55" t="s">
        <v>49</v>
      </c>
      <c r="B55" t="s">
        <v>102</v>
      </c>
    </row>
    <row r="56" spans="1:3" x14ac:dyDescent="0.25">
      <c r="A56" t="s">
        <v>50</v>
      </c>
      <c r="B56" t="s">
        <v>94</v>
      </c>
      <c r="C56">
        <v>1</v>
      </c>
    </row>
    <row r="57" spans="1:3" x14ac:dyDescent="0.25">
      <c r="A57" t="s">
        <v>51</v>
      </c>
      <c r="B57" t="s">
        <v>94</v>
      </c>
    </row>
    <row r="58" spans="1:3" x14ac:dyDescent="0.25">
      <c r="A58" t="s">
        <v>52</v>
      </c>
      <c r="B58" t="s">
        <v>94</v>
      </c>
    </row>
    <row r="59" spans="1:3" x14ac:dyDescent="0.25">
      <c r="A59" t="s">
        <v>57</v>
      </c>
      <c r="B59" t="s">
        <v>94</v>
      </c>
    </row>
    <row r="60" spans="1:3" x14ac:dyDescent="0.25">
      <c r="A60" t="s">
        <v>75</v>
      </c>
      <c r="B60" t="s">
        <v>94</v>
      </c>
      <c r="C60">
        <v>1</v>
      </c>
    </row>
    <row r="61" spans="1:3" x14ac:dyDescent="0.25">
      <c r="A61" t="s">
        <v>54</v>
      </c>
      <c r="B61" t="s">
        <v>94</v>
      </c>
    </row>
    <row r="62" spans="1:3" x14ac:dyDescent="0.25">
      <c r="A62" t="s">
        <v>55</v>
      </c>
      <c r="B62" t="s">
        <v>94</v>
      </c>
      <c r="C62" t="s">
        <v>101</v>
      </c>
    </row>
    <row r="63" spans="1:3" x14ac:dyDescent="0.25">
      <c r="A63" t="s">
        <v>56</v>
      </c>
      <c r="B63" t="s">
        <v>94</v>
      </c>
    </row>
    <row r="64" spans="1:3" x14ac:dyDescent="0.25">
      <c r="A64" t="s">
        <v>58</v>
      </c>
      <c r="B64" t="s">
        <v>94</v>
      </c>
      <c r="C64">
        <v>1</v>
      </c>
    </row>
    <row r="65" spans="1:3" x14ac:dyDescent="0.25">
      <c r="A65" t="s">
        <v>156</v>
      </c>
      <c r="B65" t="s">
        <v>94</v>
      </c>
    </row>
    <row r="66" spans="1:3" x14ac:dyDescent="0.25">
      <c r="A66" t="s">
        <v>86</v>
      </c>
      <c r="B66" t="s">
        <v>94</v>
      </c>
    </row>
    <row r="68" spans="1:3" ht="15.75" x14ac:dyDescent="0.25">
      <c r="A68" s="2" t="s">
        <v>127</v>
      </c>
    </row>
    <row r="69" spans="1:3" x14ac:dyDescent="0.25">
      <c r="A69" t="s">
        <v>60</v>
      </c>
      <c r="B69" t="s">
        <v>94</v>
      </c>
    </row>
    <row r="70" spans="1:3" x14ac:dyDescent="0.25">
      <c r="A70" t="s">
        <v>61</v>
      </c>
      <c r="B70" t="s">
        <v>94</v>
      </c>
    </row>
    <row r="71" spans="1:3" x14ac:dyDescent="0.25">
      <c r="A71" t="s">
        <v>100</v>
      </c>
      <c r="B71" t="s">
        <v>94</v>
      </c>
    </row>
    <row r="72" spans="1:3" x14ac:dyDescent="0.25">
      <c r="A72" t="s">
        <v>62</v>
      </c>
      <c r="B72" t="s">
        <v>94</v>
      </c>
    </row>
    <row r="73" spans="1:3" x14ac:dyDescent="0.25">
      <c r="A73" t="s">
        <v>63</v>
      </c>
      <c r="B73" t="s">
        <v>94</v>
      </c>
    </row>
    <row r="74" spans="1:3" x14ac:dyDescent="0.25">
      <c r="A74" t="s">
        <v>64</v>
      </c>
      <c r="B74" t="s">
        <v>94</v>
      </c>
    </row>
    <row r="75" spans="1:3" x14ac:dyDescent="0.25">
      <c r="A75" t="s">
        <v>65</v>
      </c>
      <c r="B75" t="s">
        <v>94</v>
      </c>
    </row>
    <row r="76" spans="1:3" x14ac:dyDescent="0.25">
      <c r="A76" t="s">
        <v>66</v>
      </c>
      <c r="B76" t="s">
        <v>94</v>
      </c>
      <c r="C76">
        <v>1</v>
      </c>
    </row>
    <row r="77" spans="1:3" x14ac:dyDescent="0.25">
      <c r="A77" t="s">
        <v>67</v>
      </c>
      <c r="B77" t="s">
        <v>94</v>
      </c>
      <c r="C77">
        <v>2</v>
      </c>
    </row>
    <row r="78" spans="1:3" x14ac:dyDescent="0.25">
      <c r="A78" t="s">
        <v>68</v>
      </c>
      <c r="B78" t="s">
        <v>94</v>
      </c>
      <c r="C78">
        <v>2</v>
      </c>
    </row>
    <row r="79" spans="1:3" x14ac:dyDescent="0.25">
      <c r="B79" t="s">
        <v>101</v>
      </c>
      <c r="C79">
        <f>SUM(C3:C78)</f>
        <v>11</v>
      </c>
    </row>
    <row r="80" spans="1:3" x14ac:dyDescent="0.25">
      <c r="A80" t="s">
        <v>114</v>
      </c>
      <c r="B80">
        <f>SUM(B3:B79)</f>
        <v>168</v>
      </c>
    </row>
    <row r="82" spans="1:4" ht="15.75" x14ac:dyDescent="0.25">
      <c r="A82" s="2" t="s">
        <v>128</v>
      </c>
    </row>
    <row r="83" spans="1:4" x14ac:dyDescent="0.25">
      <c r="A83" t="s">
        <v>71</v>
      </c>
      <c r="B83">
        <v>50</v>
      </c>
      <c r="C83">
        <v>1</v>
      </c>
    </row>
    <row r="84" spans="1:4" x14ac:dyDescent="0.25">
      <c r="A84" t="s">
        <v>72</v>
      </c>
      <c r="B84">
        <v>52</v>
      </c>
      <c r="C84">
        <v>2</v>
      </c>
    </row>
    <row r="85" spans="1:4" x14ac:dyDescent="0.25">
      <c r="A85" t="s">
        <v>137</v>
      </c>
      <c r="B85">
        <v>32</v>
      </c>
      <c r="C85">
        <v>1</v>
      </c>
    </row>
    <row r="86" spans="1:4" x14ac:dyDescent="0.25">
      <c r="A86" t="s">
        <v>74</v>
      </c>
      <c r="B86">
        <v>39</v>
      </c>
    </row>
    <row r="87" spans="1:4" x14ac:dyDescent="0.25">
      <c r="A87" t="s">
        <v>76</v>
      </c>
      <c r="B87">
        <v>30</v>
      </c>
      <c r="C87">
        <v>4</v>
      </c>
      <c r="D87" t="s">
        <v>158</v>
      </c>
    </row>
    <row r="88" spans="1:4" x14ac:dyDescent="0.25">
      <c r="A88" t="s">
        <v>95</v>
      </c>
      <c r="B88">
        <v>48</v>
      </c>
    </row>
    <row r="89" spans="1:4" x14ac:dyDescent="0.25">
      <c r="A89" t="s">
        <v>77</v>
      </c>
      <c r="B89">
        <v>30</v>
      </c>
      <c r="C89">
        <v>4</v>
      </c>
      <c r="D89" t="s">
        <v>159</v>
      </c>
    </row>
    <row r="90" spans="1:4" x14ac:dyDescent="0.25">
      <c r="A90" t="s">
        <v>79</v>
      </c>
      <c r="B90">
        <v>51</v>
      </c>
      <c r="C90">
        <v>2</v>
      </c>
    </row>
    <row r="91" spans="1:4" x14ac:dyDescent="0.25">
      <c r="A91" t="s">
        <v>80</v>
      </c>
    </row>
    <row r="92" spans="1:4" x14ac:dyDescent="0.25">
      <c r="A92" t="s">
        <v>81</v>
      </c>
      <c r="B92">
        <v>32</v>
      </c>
      <c r="C92">
        <v>2</v>
      </c>
      <c r="D92" t="s">
        <v>157</v>
      </c>
    </row>
    <row r="93" spans="1:4" x14ac:dyDescent="0.25">
      <c r="A93" t="s">
        <v>82</v>
      </c>
      <c r="B93">
        <v>40</v>
      </c>
    </row>
    <row r="94" spans="1:4" x14ac:dyDescent="0.25">
      <c r="A94" t="s">
        <v>138</v>
      </c>
      <c r="B94">
        <v>20</v>
      </c>
      <c r="C94">
        <v>1</v>
      </c>
    </row>
    <row r="95" spans="1:4" x14ac:dyDescent="0.25">
      <c r="A95" t="s">
        <v>84</v>
      </c>
      <c r="B95">
        <v>45</v>
      </c>
      <c r="C95">
        <v>1</v>
      </c>
    </row>
    <row r="96" spans="1:4" x14ac:dyDescent="0.25">
      <c r="A96" t="s">
        <v>85</v>
      </c>
      <c r="B96">
        <v>50</v>
      </c>
      <c r="C96">
        <v>1</v>
      </c>
    </row>
    <row r="97" spans="1:4" x14ac:dyDescent="0.25">
      <c r="A97" t="s">
        <v>88</v>
      </c>
      <c r="B97">
        <v>48</v>
      </c>
    </row>
    <row r="98" spans="1:4" x14ac:dyDescent="0.25">
      <c r="A98" t="s">
        <v>87</v>
      </c>
      <c r="B98">
        <v>50</v>
      </c>
    </row>
    <row r="99" spans="1:4" x14ac:dyDescent="0.25">
      <c r="A99" t="s">
        <v>105</v>
      </c>
      <c r="B99">
        <v>42</v>
      </c>
      <c r="C99">
        <v>2</v>
      </c>
      <c r="D99" t="s">
        <v>160</v>
      </c>
    </row>
    <row r="100" spans="1:4" x14ac:dyDescent="0.25">
      <c r="A100" t="s">
        <v>90</v>
      </c>
      <c r="B100">
        <v>17</v>
      </c>
      <c r="C100">
        <v>5</v>
      </c>
      <c r="D100">
        <f>B102</f>
        <v>726</v>
      </c>
    </row>
    <row r="101" spans="1:4" x14ac:dyDescent="0.25">
      <c r="A101" t="s">
        <v>31</v>
      </c>
      <c r="B101">
        <v>50</v>
      </c>
      <c r="C101">
        <v>1</v>
      </c>
    </row>
    <row r="102" spans="1:4" x14ac:dyDescent="0.25">
      <c r="A102" t="s">
        <v>120</v>
      </c>
      <c r="B102">
        <f>SUM(B83:B101)</f>
        <v>726</v>
      </c>
      <c r="C102">
        <f>SUM(C83:C101)</f>
        <v>27</v>
      </c>
    </row>
    <row r="104" spans="1:4" ht="15.75" x14ac:dyDescent="0.25">
      <c r="A104" s="2" t="s">
        <v>129</v>
      </c>
    </row>
    <row r="105" spans="1:4" x14ac:dyDescent="0.25">
      <c r="A105" t="s">
        <v>92</v>
      </c>
      <c r="B105">
        <v>69</v>
      </c>
      <c r="C105">
        <v>5</v>
      </c>
    </row>
    <row r="106" spans="1:4" x14ac:dyDescent="0.25">
      <c r="A106" t="s">
        <v>93</v>
      </c>
      <c r="B106">
        <v>70</v>
      </c>
      <c r="C106">
        <v>4</v>
      </c>
    </row>
    <row r="109" spans="1:4" x14ac:dyDescent="0.25">
      <c r="A109" t="s">
        <v>123</v>
      </c>
      <c r="C109">
        <v>87</v>
      </c>
    </row>
    <row r="110" spans="1:4" x14ac:dyDescent="0.25">
      <c r="A110" t="s">
        <v>124</v>
      </c>
      <c r="C110">
        <v>54</v>
      </c>
    </row>
    <row r="111" spans="1:4" x14ac:dyDescent="0.25">
      <c r="A111" t="s">
        <v>108</v>
      </c>
      <c r="C111">
        <v>9</v>
      </c>
    </row>
    <row r="112" spans="1:4" x14ac:dyDescent="0.25">
      <c r="A112" t="s">
        <v>109</v>
      </c>
      <c r="C112">
        <v>8</v>
      </c>
    </row>
    <row r="113" spans="1:3" x14ac:dyDescent="0.25">
      <c r="A113" t="s">
        <v>110</v>
      </c>
      <c r="C113">
        <v>2</v>
      </c>
    </row>
    <row r="114" spans="1:3" x14ac:dyDescent="0.25">
      <c r="A114" t="s">
        <v>111</v>
      </c>
      <c r="C114">
        <v>19</v>
      </c>
    </row>
    <row r="115" spans="1:3" x14ac:dyDescent="0.25">
      <c r="A115" t="s">
        <v>112</v>
      </c>
      <c r="C115">
        <v>27</v>
      </c>
    </row>
    <row r="116" spans="1:3" x14ac:dyDescent="0.25">
      <c r="A116" t="s">
        <v>113</v>
      </c>
      <c r="C116">
        <v>104</v>
      </c>
    </row>
    <row r="117" spans="1:3" x14ac:dyDescent="0.25">
      <c r="A117" t="s">
        <v>122</v>
      </c>
      <c r="C117">
        <v>47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FC9A-1924-48F9-B161-6C38008DDA82}">
  <sheetPr codeName="Planilha7"/>
  <dimension ref="A1:P141"/>
  <sheetViews>
    <sheetView workbookViewId="0">
      <pane ySplit="2" topLeftCell="A110" activePane="bottomLeft" state="frozen"/>
      <selection pane="bottomLeft" activeCell="C115" sqref="C115"/>
    </sheetView>
  </sheetViews>
  <sheetFormatPr defaultRowHeight="15" x14ac:dyDescent="0.25"/>
  <cols>
    <col min="1" max="1" width="28.140625" customWidth="1"/>
    <col min="3" max="3" width="13.140625" customWidth="1"/>
    <col min="4" max="4" width="30.28515625" customWidth="1"/>
  </cols>
  <sheetData>
    <row r="1" spans="1:16" ht="21" x14ac:dyDescent="0.35">
      <c r="A1" s="36" t="s">
        <v>174</v>
      </c>
      <c r="B1" s="36"/>
      <c r="C1" s="36"/>
      <c r="D1" s="36"/>
      <c r="E1" s="36"/>
      <c r="F1" s="4"/>
      <c r="G1" s="4"/>
      <c r="H1" s="4"/>
      <c r="I1" s="4"/>
      <c r="J1" s="4"/>
      <c r="K1" s="4"/>
      <c r="M1" s="4"/>
      <c r="N1" s="4"/>
      <c r="O1" s="4"/>
      <c r="P1" s="4"/>
    </row>
    <row r="2" spans="1:16" ht="15.75" x14ac:dyDescent="0.25">
      <c r="A2" s="5" t="s">
        <v>0</v>
      </c>
      <c r="B2" s="6" t="s">
        <v>171</v>
      </c>
      <c r="C2" s="6" t="s">
        <v>182</v>
      </c>
      <c r="D2" s="7" t="s">
        <v>99</v>
      </c>
      <c r="E2" s="4"/>
      <c r="F2" s="4"/>
      <c r="G2" s="4"/>
      <c r="H2" s="4"/>
      <c r="I2" s="4"/>
      <c r="J2" s="4"/>
      <c r="K2" s="4"/>
      <c r="M2" s="4"/>
      <c r="N2" s="4"/>
      <c r="O2" s="4"/>
      <c r="P2" s="4"/>
    </row>
    <row r="3" spans="1:16" ht="15.75" x14ac:dyDescent="0.25">
      <c r="A3" s="8" t="s">
        <v>125</v>
      </c>
      <c r="B3" s="4"/>
      <c r="C3" s="9" t="s">
        <v>118</v>
      </c>
      <c r="D3" s="4"/>
      <c r="E3" s="4"/>
      <c r="F3" s="4"/>
      <c r="G3" s="4"/>
      <c r="H3" s="4"/>
      <c r="I3" s="4"/>
      <c r="J3" s="4"/>
      <c r="K3" s="4"/>
      <c r="M3" s="4"/>
      <c r="N3" s="4"/>
      <c r="O3" s="4"/>
    </row>
    <row r="4" spans="1:16" ht="15.75" x14ac:dyDescent="0.25">
      <c r="A4" s="10" t="s">
        <v>147</v>
      </c>
      <c r="B4" s="4">
        <v>1</v>
      </c>
      <c r="C4" s="25" t="s">
        <v>94</v>
      </c>
      <c r="D4" s="4"/>
      <c r="E4" s="4"/>
      <c r="F4" s="4"/>
      <c r="G4" s="4"/>
      <c r="H4" s="4"/>
      <c r="I4" s="4"/>
      <c r="J4" s="4"/>
      <c r="K4" s="4"/>
      <c r="M4" s="4"/>
      <c r="N4" s="4"/>
      <c r="O4" s="4"/>
    </row>
    <row r="5" spans="1:16" x14ac:dyDescent="0.25">
      <c r="A5" s="4" t="s">
        <v>7</v>
      </c>
      <c r="B5" s="4"/>
      <c r="C5" s="25">
        <v>39</v>
      </c>
      <c r="D5" s="4"/>
      <c r="E5" s="4"/>
      <c r="F5" s="4"/>
      <c r="G5" s="4"/>
      <c r="H5" s="4"/>
      <c r="I5" s="4"/>
      <c r="J5" s="4"/>
      <c r="K5" s="4"/>
      <c r="M5" s="4"/>
      <c r="N5" s="4"/>
      <c r="O5" s="4"/>
    </row>
    <row r="6" spans="1:16" x14ac:dyDescent="0.25">
      <c r="A6" s="4" t="s">
        <v>8</v>
      </c>
      <c r="B6" s="4"/>
      <c r="C6" s="25">
        <v>17</v>
      </c>
      <c r="D6" s="4"/>
      <c r="E6" s="4"/>
      <c r="F6" s="4"/>
      <c r="G6" s="4"/>
      <c r="H6" s="4"/>
      <c r="I6" s="4"/>
      <c r="J6" s="4"/>
      <c r="K6" s="4"/>
      <c r="M6" s="4"/>
      <c r="N6" s="4"/>
      <c r="O6" s="4"/>
    </row>
    <row r="7" spans="1:16" x14ac:dyDescent="0.25">
      <c r="A7" s="4" t="s">
        <v>163</v>
      </c>
      <c r="B7" s="4"/>
      <c r="C7" s="25"/>
      <c r="D7" s="4" t="s">
        <v>188</v>
      </c>
      <c r="E7" s="4"/>
      <c r="F7" s="4"/>
      <c r="G7" s="4"/>
      <c r="H7" s="4"/>
      <c r="I7" s="4"/>
      <c r="J7" s="4"/>
      <c r="K7" s="4"/>
      <c r="M7" s="4"/>
      <c r="N7" s="4"/>
      <c r="O7" s="4"/>
    </row>
    <row r="8" spans="1:16" x14ac:dyDescent="0.25">
      <c r="A8" s="4" t="s">
        <v>161</v>
      </c>
      <c r="B8" s="4"/>
      <c r="C8" s="25"/>
      <c r="D8" s="4" t="s">
        <v>188</v>
      </c>
      <c r="E8" s="4"/>
      <c r="F8" s="4"/>
      <c r="G8" s="4"/>
      <c r="H8" s="4"/>
      <c r="I8" s="4"/>
      <c r="J8" s="4"/>
      <c r="K8" s="4"/>
      <c r="M8" s="4"/>
      <c r="N8" s="4"/>
      <c r="O8" s="4"/>
    </row>
    <row r="9" spans="1:16" x14ac:dyDescent="0.25">
      <c r="A9" s="4" t="s">
        <v>9</v>
      </c>
      <c r="B9" s="4"/>
      <c r="C9" s="25" t="s">
        <v>94</v>
      </c>
      <c r="D9" s="4"/>
      <c r="E9" s="4"/>
      <c r="F9" s="4"/>
      <c r="G9" s="4"/>
      <c r="H9" s="4"/>
      <c r="I9" s="4"/>
      <c r="J9" s="4"/>
      <c r="K9" s="4"/>
      <c r="M9" s="4"/>
      <c r="N9" s="4"/>
      <c r="O9" s="4"/>
    </row>
    <row r="10" spans="1:16" x14ac:dyDescent="0.25">
      <c r="A10" s="4" t="s">
        <v>10</v>
      </c>
      <c r="B10" s="4"/>
      <c r="C10" s="25"/>
      <c r="D10" s="4" t="s">
        <v>188</v>
      </c>
      <c r="E10" s="4"/>
      <c r="F10" s="4"/>
      <c r="G10" s="4"/>
      <c r="H10" s="4"/>
      <c r="I10" s="4"/>
      <c r="J10" s="4"/>
      <c r="K10" s="4"/>
      <c r="M10" s="4"/>
      <c r="N10" s="4"/>
      <c r="O10" s="4"/>
    </row>
    <row r="11" spans="1:16" x14ac:dyDescent="0.25">
      <c r="A11" s="4" t="s">
        <v>11</v>
      </c>
      <c r="B11" s="4"/>
      <c r="C11" s="25"/>
      <c r="D11" s="4" t="s">
        <v>188</v>
      </c>
      <c r="E11" s="4"/>
      <c r="F11" s="4"/>
      <c r="G11" s="4"/>
      <c r="H11" s="4"/>
      <c r="I11" s="4"/>
      <c r="J11" s="4"/>
      <c r="K11" s="4"/>
      <c r="M11" s="4"/>
      <c r="N11" s="4"/>
      <c r="O11" s="4"/>
    </row>
    <row r="12" spans="1:16" x14ac:dyDescent="0.25">
      <c r="A12" s="4" t="s">
        <v>183</v>
      </c>
      <c r="B12" s="4"/>
      <c r="C12" s="25" t="s">
        <v>94</v>
      </c>
      <c r="D12" s="4"/>
      <c r="E12" s="4"/>
      <c r="F12" s="4"/>
      <c r="G12" s="4"/>
      <c r="H12" s="4"/>
      <c r="I12" s="4"/>
      <c r="J12" s="4"/>
      <c r="K12" s="4"/>
      <c r="M12" s="4"/>
      <c r="N12" s="4"/>
      <c r="O12" s="4"/>
    </row>
    <row r="13" spans="1:16" x14ac:dyDescent="0.25">
      <c r="A13" s="4" t="s">
        <v>131</v>
      </c>
      <c r="B13" s="4"/>
      <c r="C13" s="25" t="s">
        <v>94</v>
      </c>
      <c r="D13" s="4"/>
      <c r="E13" s="4"/>
      <c r="F13" s="4"/>
      <c r="G13" s="4"/>
      <c r="H13" s="4"/>
      <c r="I13" s="4"/>
      <c r="J13" s="4"/>
      <c r="K13" s="4"/>
      <c r="M13" s="4"/>
      <c r="N13" s="4"/>
      <c r="O13" s="4"/>
    </row>
    <row r="14" spans="1:16" x14ac:dyDescent="0.25">
      <c r="A14" s="4" t="s">
        <v>162</v>
      </c>
      <c r="B14" s="4"/>
      <c r="C14" s="25" t="s">
        <v>94</v>
      </c>
      <c r="D14" s="4"/>
      <c r="E14" s="4"/>
      <c r="F14" s="4"/>
      <c r="G14" s="4"/>
      <c r="H14" s="4"/>
      <c r="I14" s="4"/>
      <c r="J14" s="4"/>
      <c r="K14" s="4"/>
      <c r="M14" s="4"/>
      <c r="N14" s="4"/>
      <c r="O14" s="4"/>
    </row>
    <row r="15" spans="1:16" x14ac:dyDescent="0.25">
      <c r="A15" s="4" t="s">
        <v>13</v>
      </c>
      <c r="B15" s="4"/>
      <c r="C15" s="25" t="s">
        <v>94</v>
      </c>
      <c r="D15" s="4"/>
      <c r="E15" s="4"/>
      <c r="F15" s="4"/>
      <c r="G15" s="4"/>
      <c r="H15" s="4"/>
      <c r="I15" s="4"/>
      <c r="J15" s="4"/>
      <c r="K15" s="4"/>
      <c r="M15" s="4"/>
      <c r="N15" s="4"/>
      <c r="O15" s="4"/>
    </row>
    <row r="16" spans="1:16" x14ac:dyDescent="0.25">
      <c r="A16" s="4" t="s">
        <v>14</v>
      </c>
      <c r="B16" s="4"/>
      <c r="C16" s="25" t="s">
        <v>94</v>
      </c>
      <c r="D16" s="4"/>
      <c r="E16" s="4"/>
      <c r="F16" s="4"/>
      <c r="G16" s="4"/>
      <c r="H16" s="4"/>
      <c r="I16" s="4"/>
      <c r="J16" s="4"/>
      <c r="K16" s="4"/>
      <c r="M16" s="4"/>
      <c r="N16" s="4"/>
      <c r="O16" s="4"/>
    </row>
    <row r="17" spans="1:16" x14ac:dyDescent="0.25">
      <c r="A17" s="4" t="s">
        <v>17</v>
      </c>
      <c r="B17" s="4"/>
      <c r="C17" s="25"/>
      <c r="D17" s="4" t="s">
        <v>188</v>
      </c>
      <c r="E17" s="4"/>
      <c r="F17" s="4"/>
      <c r="G17" s="4"/>
      <c r="H17" s="4"/>
      <c r="I17" s="4"/>
      <c r="J17" s="4"/>
      <c r="K17" s="4"/>
      <c r="M17" s="4"/>
      <c r="N17" s="4"/>
      <c r="O17" s="4"/>
    </row>
    <row r="18" spans="1:16" x14ac:dyDescent="0.25">
      <c r="A18" s="4" t="s">
        <v>15</v>
      </c>
      <c r="B18" s="4"/>
      <c r="C18" s="25" t="s">
        <v>94</v>
      </c>
      <c r="D18" s="4"/>
      <c r="E18" s="4"/>
      <c r="F18" s="4"/>
      <c r="G18" s="4"/>
      <c r="H18" s="4"/>
      <c r="I18" s="4"/>
      <c r="J18" s="4"/>
      <c r="K18" s="4"/>
      <c r="M18" s="4"/>
      <c r="N18" s="4"/>
      <c r="O18" s="4"/>
    </row>
    <row r="19" spans="1:16" x14ac:dyDescent="0.25">
      <c r="A19" s="4"/>
      <c r="B19" s="4"/>
      <c r="C19" s="25"/>
      <c r="D19" s="4"/>
      <c r="E19" s="4"/>
      <c r="F19" s="4"/>
      <c r="G19" s="4"/>
      <c r="H19" s="4"/>
      <c r="I19" s="4"/>
      <c r="J19" s="4"/>
      <c r="K19" s="4"/>
      <c r="M19" s="4"/>
      <c r="N19" s="4"/>
      <c r="O19" s="4"/>
    </row>
    <row r="20" spans="1:16" x14ac:dyDescent="0.25">
      <c r="A20" s="4"/>
      <c r="B20" s="4"/>
      <c r="C20" s="25"/>
      <c r="D20" s="4"/>
      <c r="E20" s="4"/>
      <c r="F20" s="4"/>
      <c r="G20" s="4"/>
      <c r="H20" s="4"/>
      <c r="I20" s="4"/>
      <c r="J20" s="4"/>
      <c r="K20" s="4"/>
      <c r="M20" s="4"/>
      <c r="N20" s="4"/>
      <c r="O20" s="4"/>
    </row>
    <row r="21" spans="1:16" ht="15.75" x14ac:dyDescent="0.25">
      <c r="A21" s="8" t="s">
        <v>126</v>
      </c>
      <c r="B21" s="11"/>
      <c r="C21" s="26"/>
      <c r="D21" s="12"/>
      <c r="E21" s="4"/>
      <c r="F21" s="4"/>
      <c r="G21" s="4"/>
      <c r="H21" s="4"/>
      <c r="I21" s="4"/>
      <c r="J21" s="4"/>
      <c r="K21" s="4"/>
      <c r="M21" s="4"/>
      <c r="N21" s="4"/>
      <c r="O21" s="4"/>
    </row>
    <row r="22" spans="1:16" ht="15.75" x14ac:dyDescent="0.25">
      <c r="A22" s="10" t="s">
        <v>185</v>
      </c>
      <c r="B22" s="11"/>
      <c r="C22" s="32" t="s">
        <v>94</v>
      </c>
      <c r="D22" s="12"/>
      <c r="E22" s="4"/>
      <c r="F22" s="4"/>
      <c r="G22" s="4"/>
      <c r="H22" s="4"/>
      <c r="I22" s="4"/>
      <c r="J22" s="4"/>
      <c r="K22" s="4"/>
      <c r="M22" s="4"/>
      <c r="N22" s="4"/>
      <c r="O22" s="4"/>
    </row>
    <row r="23" spans="1:16" x14ac:dyDescent="0.25">
      <c r="A23" s="4" t="s">
        <v>50</v>
      </c>
      <c r="B23" s="4">
        <v>1</v>
      </c>
      <c r="C23" s="25" t="s">
        <v>94</v>
      </c>
      <c r="D23" s="4"/>
      <c r="E23" s="4"/>
      <c r="F23" s="4"/>
      <c r="G23" s="4"/>
      <c r="H23" s="4"/>
      <c r="I23" s="4"/>
      <c r="J23" s="4"/>
      <c r="K23" s="4"/>
      <c r="M23" s="4"/>
      <c r="N23" s="4"/>
      <c r="O23" s="4"/>
      <c r="P23" s="4"/>
    </row>
    <row r="24" spans="1:16" x14ac:dyDescent="0.25">
      <c r="A24" s="4" t="s">
        <v>53</v>
      </c>
      <c r="B24" s="4"/>
      <c r="C24" s="25" t="s">
        <v>94</v>
      </c>
      <c r="D24" s="4"/>
      <c r="E24" s="4"/>
      <c r="F24" s="4"/>
      <c r="G24" s="4"/>
      <c r="H24" s="4"/>
      <c r="I24" s="4"/>
      <c r="J24" s="4"/>
      <c r="K24" s="4"/>
      <c r="M24" s="4"/>
      <c r="N24" s="4"/>
      <c r="O24" s="4"/>
      <c r="P24" s="4"/>
    </row>
    <row r="25" spans="1:16" x14ac:dyDescent="0.25">
      <c r="A25" s="4" t="s">
        <v>21</v>
      </c>
      <c r="B25" s="4"/>
      <c r="C25" s="25" t="s">
        <v>94</v>
      </c>
      <c r="D25" s="4"/>
      <c r="E25" s="4"/>
      <c r="F25" s="4"/>
      <c r="G25" s="4"/>
      <c r="H25" s="4"/>
      <c r="I25" s="4"/>
      <c r="J25" s="4"/>
      <c r="K25" s="4"/>
      <c r="M25" s="4"/>
      <c r="N25" s="4"/>
      <c r="O25" s="4"/>
      <c r="P25" s="4"/>
    </row>
    <row r="26" spans="1:16" x14ac:dyDescent="0.25">
      <c r="A26" s="4" t="s">
        <v>75</v>
      </c>
      <c r="B26" s="4">
        <v>1</v>
      </c>
      <c r="C26" s="25" t="s">
        <v>94</v>
      </c>
      <c r="D26" s="4"/>
      <c r="E26" s="4"/>
      <c r="F26" s="4"/>
      <c r="G26" s="4"/>
      <c r="H26" s="4"/>
      <c r="I26" s="4"/>
      <c r="J26" s="4"/>
      <c r="K26" s="4"/>
      <c r="M26" s="4"/>
      <c r="N26" s="4"/>
      <c r="O26" s="4"/>
      <c r="P26" s="4"/>
    </row>
    <row r="27" spans="1:16" x14ac:dyDescent="0.25">
      <c r="A27" s="4" t="s">
        <v>23</v>
      </c>
      <c r="B27" s="4"/>
      <c r="C27" s="25" t="s">
        <v>94</v>
      </c>
      <c r="D27" s="4"/>
      <c r="E27" s="4"/>
      <c r="F27" s="4"/>
      <c r="G27" s="4"/>
      <c r="H27" s="4"/>
      <c r="I27" s="4"/>
      <c r="J27" s="4"/>
      <c r="K27" s="4"/>
      <c r="M27" s="4"/>
      <c r="N27" s="4"/>
      <c r="O27" s="4"/>
      <c r="P27" s="4"/>
    </row>
    <row r="28" spans="1:16" x14ac:dyDescent="0.25">
      <c r="A28" s="4" t="s">
        <v>27</v>
      </c>
      <c r="B28" s="4"/>
      <c r="C28" s="25" t="s">
        <v>94</v>
      </c>
      <c r="D28" s="4"/>
      <c r="E28" s="4"/>
      <c r="F28" s="4"/>
      <c r="G28" s="4"/>
      <c r="H28" s="4"/>
      <c r="I28" s="4"/>
      <c r="J28" s="4"/>
      <c r="K28" s="4"/>
      <c r="M28" s="4"/>
      <c r="N28" s="4"/>
      <c r="O28" s="4"/>
      <c r="P28" s="4"/>
    </row>
    <row r="29" spans="1:16" x14ac:dyDescent="0.25">
      <c r="A29" s="4" t="s">
        <v>29</v>
      </c>
      <c r="B29" s="4"/>
      <c r="C29" s="25" t="s">
        <v>94</v>
      </c>
      <c r="D29" s="4"/>
      <c r="E29" s="4"/>
      <c r="F29" s="4"/>
      <c r="G29" s="4"/>
      <c r="H29" s="4"/>
      <c r="I29" s="4"/>
      <c r="J29" s="4"/>
      <c r="K29" s="4"/>
      <c r="M29" s="4"/>
      <c r="N29" s="4"/>
      <c r="O29" s="4"/>
      <c r="P29" s="4"/>
    </row>
    <row r="30" spans="1:16" x14ac:dyDescent="0.25">
      <c r="A30" s="4" t="s">
        <v>164</v>
      </c>
      <c r="B30" s="4"/>
      <c r="C30" s="25" t="s">
        <v>94</v>
      </c>
      <c r="D30" s="4"/>
      <c r="E30" s="4"/>
      <c r="F30" s="4"/>
      <c r="G30" s="4"/>
      <c r="H30" s="4"/>
      <c r="I30" s="4"/>
      <c r="J30" s="4"/>
      <c r="K30" s="4"/>
      <c r="M30" s="4"/>
      <c r="N30" s="4"/>
      <c r="O30" s="4"/>
      <c r="P30" s="4"/>
    </row>
    <row r="31" spans="1:16" x14ac:dyDescent="0.25">
      <c r="A31" s="4" t="s">
        <v>30</v>
      </c>
      <c r="B31" s="4"/>
      <c r="C31" s="25"/>
      <c r="D31" s="4"/>
      <c r="E31" s="4"/>
      <c r="F31" s="4"/>
      <c r="G31" s="4"/>
      <c r="H31" s="4"/>
      <c r="I31" s="4"/>
      <c r="J31" s="4"/>
      <c r="K31" s="4"/>
      <c r="M31" s="4"/>
      <c r="N31" s="4"/>
      <c r="O31" s="4"/>
      <c r="P31" s="4"/>
    </row>
    <row r="32" spans="1:16" x14ac:dyDescent="0.25">
      <c r="A32" s="4" t="s">
        <v>86</v>
      </c>
      <c r="B32" s="4"/>
      <c r="C32" s="25" t="s">
        <v>94</v>
      </c>
      <c r="D32" s="4"/>
      <c r="E32" s="4"/>
      <c r="F32" s="4"/>
      <c r="G32" s="4"/>
      <c r="H32" s="4"/>
      <c r="I32" s="4"/>
      <c r="J32" s="4"/>
      <c r="K32" s="4"/>
      <c r="M32" s="4"/>
      <c r="N32" s="4"/>
      <c r="O32" s="4"/>
      <c r="P32" s="4"/>
    </row>
    <row r="33" spans="1:16" x14ac:dyDescent="0.25">
      <c r="A33" s="4"/>
      <c r="B33" s="4"/>
      <c r="C33" s="25"/>
      <c r="D33" s="4"/>
      <c r="E33" s="4"/>
      <c r="F33" s="4"/>
      <c r="G33" s="4"/>
      <c r="H33" s="4"/>
      <c r="I33" s="4"/>
      <c r="J33" s="4"/>
      <c r="K33" s="4"/>
      <c r="M33" s="4"/>
      <c r="N33" s="4"/>
      <c r="O33" s="4"/>
      <c r="P33" s="4"/>
    </row>
    <row r="34" spans="1:16" x14ac:dyDescent="0.25">
      <c r="A34" s="4"/>
      <c r="B34" s="4"/>
      <c r="C34" s="25"/>
      <c r="D34" s="4"/>
      <c r="E34" s="4"/>
      <c r="F34" s="4"/>
      <c r="G34" s="4"/>
      <c r="H34" s="4"/>
      <c r="I34" s="4"/>
      <c r="J34" s="4"/>
      <c r="K34" s="4"/>
      <c r="M34" s="4"/>
      <c r="N34" s="4"/>
      <c r="O34" s="4"/>
      <c r="P34" s="4"/>
    </row>
    <row r="35" spans="1:16" ht="15.75" x14ac:dyDescent="0.25">
      <c r="A35" s="8" t="s">
        <v>33</v>
      </c>
      <c r="B35" s="13"/>
      <c r="C35" s="27"/>
      <c r="D35" s="14"/>
      <c r="E35" s="4"/>
      <c r="F35" s="4"/>
      <c r="G35" s="4"/>
      <c r="H35" s="4"/>
      <c r="I35" s="4"/>
      <c r="J35" s="4"/>
      <c r="K35" s="4"/>
      <c r="M35" s="4"/>
      <c r="N35" s="4"/>
      <c r="O35" s="4"/>
      <c r="P35" s="4"/>
    </row>
    <row r="36" spans="1:16" x14ac:dyDescent="0.25">
      <c r="A36" s="4" t="s">
        <v>35</v>
      </c>
      <c r="B36" s="4"/>
      <c r="C36" s="25" t="s">
        <v>94</v>
      </c>
      <c r="D36" s="4"/>
      <c r="E36" s="4"/>
      <c r="F36" s="4"/>
      <c r="G36" s="4"/>
      <c r="H36" s="4"/>
      <c r="I36" s="4"/>
      <c r="J36" s="4"/>
      <c r="K36" s="4"/>
      <c r="M36" s="4"/>
      <c r="N36" s="4"/>
      <c r="O36" s="4"/>
      <c r="P36" s="4"/>
    </row>
    <row r="37" spans="1:16" x14ac:dyDescent="0.25">
      <c r="A37" s="4" t="s">
        <v>150</v>
      </c>
      <c r="B37" s="4"/>
      <c r="C37" s="25" t="s">
        <v>94</v>
      </c>
      <c r="D37" s="4"/>
      <c r="E37" s="4"/>
      <c r="F37" s="4"/>
      <c r="G37" s="4"/>
      <c r="H37" s="4"/>
      <c r="I37" s="4"/>
      <c r="J37" s="4"/>
      <c r="K37" s="4"/>
      <c r="M37" s="4"/>
      <c r="N37" s="4"/>
      <c r="O37" s="4"/>
      <c r="P37" s="4"/>
    </row>
    <row r="38" spans="1:16" x14ac:dyDescent="0.25">
      <c r="A38" s="4" t="s">
        <v>149</v>
      </c>
      <c r="B38" s="4"/>
      <c r="C38" s="25"/>
      <c r="D38" s="4" t="s">
        <v>188</v>
      </c>
      <c r="E38" s="4"/>
      <c r="F38" s="4"/>
      <c r="G38" s="4"/>
      <c r="H38" s="4"/>
      <c r="I38" s="4"/>
      <c r="J38" s="4"/>
      <c r="K38" s="4"/>
      <c r="M38" s="4"/>
      <c r="N38" s="4"/>
      <c r="O38" s="4"/>
      <c r="P38" s="4"/>
    </row>
    <row r="39" spans="1:16" x14ac:dyDescent="0.25">
      <c r="A39" s="4" t="s">
        <v>37</v>
      </c>
      <c r="B39" s="4"/>
      <c r="C39" s="25"/>
      <c r="D39" s="4" t="s">
        <v>188</v>
      </c>
      <c r="E39" s="4"/>
      <c r="F39" s="4"/>
      <c r="G39" s="4"/>
      <c r="H39" s="4"/>
      <c r="I39" s="4"/>
      <c r="J39" s="4"/>
      <c r="K39" s="4"/>
      <c r="M39" s="4"/>
      <c r="N39" s="4"/>
      <c r="O39" s="4"/>
      <c r="P39" s="4"/>
    </row>
    <row r="40" spans="1:16" x14ac:dyDescent="0.25">
      <c r="A40" s="4" t="s">
        <v>66</v>
      </c>
      <c r="B40" s="4"/>
      <c r="C40" s="25" t="s">
        <v>94</v>
      </c>
      <c r="D40" s="4"/>
      <c r="E40" s="4"/>
      <c r="F40" s="4"/>
      <c r="G40" s="4"/>
      <c r="H40" s="4"/>
      <c r="I40" s="4"/>
      <c r="J40" s="4"/>
      <c r="K40" s="4"/>
      <c r="M40" s="4"/>
      <c r="N40" s="4"/>
      <c r="O40" s="4"/>
      <c r="P40" s="4"/>
    </row>
    <row r="41" spans="1:16" x14ac:dyDescent="0.25">
      <c r="A41" s="4" t="s">
        <v>78</v>
      </c>
      <c r="B41" s="4"/>
      <c r="C41" s="25" t="s">
        <v>94</v>
      </c>
      <c r="D41" s="4"/>
      <c r="E41" s="4"/>
      <c r="F41" s="4"/>
      <c r="G41" s="4"/>
      <c r="H41" s="4"/>
      <c r="I41" s="4"/>
      <c r="J41" s="4"/>
      <c r="K41" s="4"/>
      <c r="M41" s="4"/>
      <c r="N41" s="4"/>
      <c r="O41" s="4"/>
      <c r="P41" s="4"/>
    </row>
    <row r="42" spans="1:16" x14ac:dyDescent="0.25">
      <c r="A42" s="4" t="s">
        <v>151</v>
      </c>
      <c r="B42" s="4"/>
      <c r="C42" s="25"/>
      <c r="D42" s="4" t="s">
        <v>188</v>
      </c>
      <c r="E42" s="4"/>
      <c r="F42" s="4"/>
      <c r="G42" s="4"/>
      <c r="H42" s="4"/>
      <c r="I42" s="4"/>
      <c r="J42" s="4"/>
      <c r="K42" s="4"/>
      <c r="M42" s="4"/>
      <c r="N42" s="4"/>
      <c r="O42" s="4"/>
      <c r="P42" s="4"/>
    </row>
    <row r="43" spans="1:16" x14ac:dyDescent="0.25">
      <c r="A43" s="4" t="s">
        <v>134</v>
      </c>
      <c r="B43" s="4"/>
      <c r="C43" s="25" t="s">
        <v>94</v>
      </c>
      <c r="D43" s="4"/>
      <c r="E43" s="4"/>
      <c r="F43" s="4"/>
      <c r="G43" s="4"/>
      <c r="H43" s="4"/>
      <c r="I43" s="4"/>
      <c r="J43" s="4"/>
      <c r="K43" s="4"/>
      <c r="M43" s="4"/>
      <c r="N43" s="4"/>
      <c r="O43" s="4"/>
      <c r="P43" s="4"/>
    </row>
    <row r="44" spans="1:16" x14ac:dyDescent="0.25">
      <c r="A44" s="4" t="s">
        <v>40</v>
      </c>
      <c r="B44" s="4"/>
      <c r="C44" s="25" t="s">
        <v>94</v>
      </c>
      <c r="D44" s="4"/>
      <c r="E44" s="4"/>
      <c r="F44" s="4"/>
      <c r="G44" s="4"/>
      <c r="H44" s="4"/>
      <c r="I44" s="4"/>
      <c r="J44" s="4"/>
      <c r="K44" s="4"/>
      <c r="M44" s="4"/>
      <c r="N44" s="4"/>
      <c r="O44" s="4"/>
      <c r="P44" s="4"/>
    </row>
    <row r="45" spans="1:16" x14ac:dyDescent="0.25">
      <c r="A45" s="4" t="s">
        <v>135</v>
      </c>
      <c r="B45" s="4"/>
      <c r="C45" s="25" t="s">
        <v>94</v>
      </c>
      <c r="D45" s="4"/>
      <c r="E45" s="4"/>
      <c r="F45" s="4"/>
      <c r="G45" s="4"/>
      <c r="H45" s="4"/>
      <c r="I45" s="4"/>
      <c r="J45" s="4"/>
      <c r="K45" s="4"/>
      <c r="M45" s="4"/>
      <c r="N45" s="4"/>
      <c r="O45" s="4"/>
      <c r="P45" s="4"/>
    </row>
    <row r="46" spans="1:16" x14ac:dyDescent="0.25">
      <c r="A46" s="4" t="s">
        <v>42</v>
      </c>
      <c r="B46" s="4"/>
      <c r="C46" s="25"/>
      <c r="D46" s="4" t="s">
        <v>188</v>
      </c>
      <c r="E46" s="4"/>
      <c r="F46" s="4"/>
      <c r="G46" s="4"/>
      <c r="H46" s="4"/>
      <c r="I46" s="4"/>
      <c r="J46" s="4"/>
      <c r="K46" s="4"/>
      <c r="M46" s="4"/>
      <c r="N46" s="4"/>
      <c r="O46" s="4"/>
      <c r="P46" s="4"/>
    </row>
    <row r="47" spans="1:16" x14ac:dyDescent="0.25">
      <c r="A47" s="4" t="s">
        <v>43</v>
      </c>
      <c r="B47" s="4"/>
      <c r="C47" s="25" t="s">
        <v>94</v>
      </c>
      <c r="D47" s="4"/>
      <c r="E47" s="4"/>
      <c r="F47" s="4"/>
      <c r="G47" s="4"/>
      <c r="H47" s="4"/>
      <c r="I47" s="4"/>
      <c r="J47" s="4"/>
      <c r="K47" s="4"/>
      <c r="M47" s="4"/>
      <c r="N47" s="4"/>
      <c r="O47" s="4"/>
      <c r="P47" s="4"/>
    </row>
    <row r="48" spans="1:16" x14ac:dyDescent="0.25">
      <c r="A48" s="4" t="s">
        <v>169</v>
      </c>
      <c r="B48" s="4"/>
      <c r="C48" s="25" t="s">
        <v>94</v>
      </c>
      <c r="D48" s="4"/>
      <c r="E48" s="4"/>
      <c r="F48" s="4"/>
      <c r="G48" s="4"/>
      <c r="H48" s="4"/>
      <c r="I48" s="4"/>
      <c r="J48" s="4"/>
      <c r="K48" s="4"/>
      <c r="M48" s="4"/>
      <c r="N48" s="4"/>
      <c r="O48" s="4"/>
      <c r="P48" s="4"/>
    </row>
    <row r="49" spans="1:16" x14ac:dyDescent="0.25">
      <c r="A49" s="4" t="s">
        <v>45</v>
      </c>
      <c r="B49" s="4"/>
      <c r="C49" s="25" t="s">
        <v>94</v>
      </c>
      <c r="D49" s="4"/>
      <c r="E49" s="4"/>
      <c r="F49" s="4"/>
      <c r="G49" s="4"/>
      <c r="H49" s="4"/>
      <c r="I49" s="4"/>
      <c r="J49" s="4"/>
      <c r="K49" s="4"/>
      <c r="M49" s="4"/>
      <c r="N49" s="4"/>
      <c r="O49" s="4"/>
      <c r="P49" s="4"/>
    </row>
    <row r="50" spans="1:16" x14ac:dyDescent="0.25">
      <c r="A50" s="4" t="s">
        <v>67</v>
      </c>
      <c r="B50" s="4">
        <v>2</v>
      </c>
      <c r="C50" s="25" t="s">
        <v>94</v>
      </c>
      <c r="D50" s="4"/>
      <c r="E50" s="4"/>
      <c r="F50" s="4"/>
      <c r="G50" s="4"/>
      <c r="H50" s="4"/>
      <c r="I50" s="4"/>
      <c r="J50" s="4"/>
      <c r="K50" s="4"/>
      <c r="M50" s="4"/>
      <c r="N50" s="4"/>
      <c r="O50" s="4"/>
      <c r="P50" s="4"/>
    </row>
    <row r="51" spans="1:16" x14ac:dyDescent="0.25">
      <c r="A51" s="4" t="s">
        <v>170</v>
      </c>
      <c r="B51" s="4">
        <v>1</v>
      </c>
      <c r="C51" s="25" t="s">
        <v>94</v>
      </c>
      <c r="D51" s="4"/>
      <c r="E51" s="4"/>
      <c r="F51" s="4"/>
      <c r="G51" s="4"/>
      <c r="H51" s="4"/>
      <c r="I51" s="4"/>
      <c r="J51" s="4"/>
      <c r="K51" s="4"/>
      <c r="M51" s="4"/>
      <c r="N51" s="4"/>
      <c r="O51" s="4"/>
      <c r="P51" s="4"/>
    </row>
    <row r="52" spans="1:16" x14ac:dyDescent="0.25">
      <c r="A52" s="4" t="s">
        <v>46</v>
      </c>
      <c r="B52" s="4"/>
      <c r="C52" s="25" t="s">
        <v>94</v>
      </c>
      <c r="D52" s="4"/>
      <c r="E52" s="4"/>
      <c r="F52" s="4"/>
      <c r="G52" s="4"/>
      <c r="H52" s="4"/>
      <c r="I52" s="4"/>
      <c r="J52" s="4"/>
      <c r="K52" s="4"/>
      <c r="M52" s="4"/>
      <c r="N52" s="4"/>
      <c r="O52" s="4"/>
      <c r="P52" s="4"/>
    </row>
    <row r="53" spans="1:16" x14ac:dyDescent="0.25">
      <c r="A53" s="4" t="s">
        <v>89</v>
      </c>
      <c r="B53" s="4"/>
      <c r="C53" s="25" t="s">
        <v>94</v>
      </c>
      <c r="D53" s="4"/>
      <c r="E53" s="4"/>
      <c r="F53" s="4"/>
      <c r="G53" s="4"/>
      <c r="H53" s="4"/>
      <c r="I53" s="4"/>
      <c r="J53" s="4"/>
      <c r="K53" s="4"/>
      <c r="M53" s="4"/>
      <c r="N53" s="4"/>
      <c r="O53" s="4"/>
      <c r="P53" s="4"/>
    </row>
    <row r="54" spans="1:16" x14ac:dyDescent="0.25">
      <c r="A54" s="4"/>
      <c r="B54" s="4"/>
      <c r="C54" s="25"/>
      <c r="D54" s="4"/>
      <c r="E54" s="4"/>
      <c r="F54" s="4"/>
      <c r="G54" s="4"/>
      <c r="H54" s="4"/>
      <c r="I54" s="4"/>
      <c r="J54" s="4"/>
      <c r="K54" s="4"/>
      <c r="M54" s="4"/>
      <c r="N54" s="4"/>
      <c r="O54" s="4"/>
      <c r="P54" s="4"/>
    </row>
    <row r="55" spans="1:16" x14ac:dyDescent="0.25">
      <c r="A55" s="4"/>
      <c r="B55" s="4"/>
      <c r="C55" s="25"/>
      <c r="D55" s="4"/>
      <c r="E55" s="4"/>
      <c r="F55" s="4"/>
      <c r="G55" s="4"/>
      <c r="H55" s="4"/>
      <c r="I55" s="4"/>
      <c r="J55" s="4"/>
      <c r="K55" s="4"/>
      <c r="M55" s="4"/>
      <c r="N55" s="4"/>
      <c r="O55" s="4"/>
      <c r="P55" s="4"/>
    </row>
    <row r="56" spans="1:16" ht="15.75" x14ac:dyDescent="0.25">
      <c r="A56" s="8" t="s">
        <v>47</v>
      </c>
      <c r="B56" s="11"/>
      <c r="C56" s="26"/>
      <c r="D56" s="12"/>
      <c r="E56" s="4"/>
      <c r="F56" s="4"/>
      <c r="G56" s="4"/>
      <c r="H56" s="4"/>
      <c r="I56" s="4"/>
      <c r="J56" s="4"/>
      <c r="K56" s="4"/>
      <c r="M56" s="4"/>
      <c r="N56" s="4"/>
      <c r="O56" s="4"/>
      <c r="P56" s="4"/>
    </row>
    <row r="57" spans="1:16" ht="15.75" x14ac:dyDescent="0.25">
      <c r="A57" s="10" t="s">
        <v>136</v>
      </c>
      <c r="B57" s="11"/>
      <c r="C57" s="32" t="s">
        <v>94</v>
      </c>
      <c r="D57" s="12"/>
      <c r="E57" s="4"/>
      <c r="F57" s="4"/>
      <c r="G57" s="4"/>
      <c r="H57" s="4"/>
      <c r="I57" s="4"/>
      <c r="J57" s="4"/>
      <c r="K57" s="4"/>
      <c r="M57" s="4"/>
      <c r="N57" s="4"/>
      <c r="O57" s="4"/>
      <c r="P57" s="4"/>
    </row>
    <row r="58" spans="1:16" x14ac:dyDescent="0.25">
      <c r="A58" s="4" t="s">
        <v>165</v>
      </c>
      <c r="B58" s="4"/>
      <c r="C58" s="25" t="s">
        <v>94</v>
      </c>
      <c r="D58" s="4"/>
      <c r="E58" s="4"/>
      <c r="F58" s="4"/>
      <c r="G58" s="4"/>
      <c r="H58" s="4"/>
      <c r="I58" s="4"/>
      <c r="J58" s="4"/>
      <c r="K58" s="4"/>
      <c r="M58" s="4"/>
      <c r="N58" s="4"/>
      <c r="O58" s="4"/>
      <c r="P58" s="4"/>
    </row>
    <row r="59" spans="1:16" x14ac:dyDescent="0.25">
      <c r="A59" s="4" t="s">
        <v>51</v>
      </c>
      <c r="B59" s="4"/>
      <c r="C59" s="25"/>
      <c r="D59" s="4"/>
      <c r="E59" s="4"/>
      <c r="F59" s="4"/>
      <c r="G59" s="4"/>
      <c r="H59" s="4"/>
      <c r="I59" s="4"/>
      <c r="J59" s="4"/>
      <c r="K59" s="4"/>
      <c r="M59" s="4"/>
      <c r="N59" s="4"/>
      <c r="O59" s="4"/>
      <c r="P59" s="4"/>
    </row>
    <row r="60" spans="1:16" x14ac:dyDescent="0.25">
      <c r="A60" s="4" t="s">
        <v>52</v>
      </c>
      <c r="B60" s="4"/>
      <c r="C60" s="25" t="s">
        <v>94</v>
      </c>
      <c r="D60" s="4"/>
      <c r="E60" s="4"/>
      <c r="F60" s="4"/>
      <c r="G60" s="4"/>
      <c r="H60" s="4"/>
      <c r="I60" s="4"/>
      <c r="J60" s="4"/>
      <c r="K60" s="4"/>
      <c r="M60" s="4"/>
      <c r="N60" s="4"/>
      <c r="O60" s="4"/>
      <c r="P60" s="4"/>
    </row>
    <row r="61" spans="1:16" x14ac:dyDescent="0.25">
      <c r="A61" s="4" t="s">
        <v>57</v>
      </c>
      <c r="B61" s="4"/>
      <c r="C61" s="25" t="s">
        <v>94</v>
      </c>
      <c r="D61" s="4"/>
      <c r="E61" s="4"/>
      <c r="F61" s="4"/>
      <c r="G61" s="4"/>
      <c r="H61" s="4"/>
      <c r="I61" s="4"/>
      <c r="J61" s="4"/>
      <c r="K61" s="4"/>
      <c r="M61" s="4"/>
      <c r="N61" s="4"/>
      <c r="O61" s="4"/>
      <c r="P61" s="4"/>
    </row>
    <row r="62" spans="1:16" x14ac:dyDescent="0.25">
      <c r="A62" s="4" t="s">
        <v>54</v>
      </c>
      <c r="B62" s="4"/>
      <c r="C62" s="25" t="s">
        <v>94</v>
      </c>
      <c r="D62" s="4"/>
      <c r="E62" s="4"/>
      <c r="F62" s="4"/>
      <c r="G62" s="4"/>
      <c r="H62" s="4"/>
      <c r="I62" s="4"/>
      <c r="J62" s="4"/>
      <c r="K62" s="4"/>
      <c r="M62" s="4"/>
      <c r="N62" s="4"/>
      <c r="O62" s="4"/>
      <c r="P62" s="4"/>
    </row>
    <row r="63" spans="1:16" x14ac:dyDescent="0.25">
      <c r="A63" s="4" t="s">
        <v>55</v>
      </c>
      <c r="B63" s="4"/>
      <c r="C63" s="25" t="s">
        <v>94</v>
      </c>
      <c r="D63" s="4"/>
      <c r="E63" s="4"/>
      <c r="F63" s="4"/>
      <c r="G63" s="4"/>
      <c r="H63" s="4"/>
      <c r="I63" s="4"/>
      <c r="J63" s="4"/>
      <c r="K63" s="4"/>
      <c r="M63" s="4"/>
      <c r="N63" s="4"/>
      <c r="O63" s="4"/>
      <c r="P63" s="4"/>
    </row>
    <row r="64" spans="1:16" x14ac:dyDescent="0.25">
      <c r="A64" s="4" t="s">
        <v>166</v>
      </c>
      <c r="B64" s="4"/>
      <c r="C64" s="25" t="s">
        <v>94</v>
      </c>
      <c r="D64" s="4"/>
      <c r="E64" s="4"/>
      <c r="F64" s="4"/>
      <c r="G64" s="4"/>
      <c r="H64" s="4"/>
      <c r="I64" s="4"/>
      <c r="J64" s="4"/>
      <c r="K64" s="4"/>
      <c r="M64" s="4"/>
      <c r="N64" s="4"/>
      <c r="O64" s="4"/>
      <c r="P64" s="4"/>
    </row>
    <row r="65" spans="1:16" x14ac:dyDescent="0.25">
      <c r="A65" s="4" t="s">
        <v>56</v>
      </c>
      <c r="B65" s="4"/>
      <c r="C65" s="25" t="s">
        <v>94</v>
      </c>
      <c r="D65" s="4"/>
      <c r="E65" s="4"/>
      <c r="F65" s="4"/>
      <c r="G65" s="4"/>
      <c r="H65" s="4"/>
      <c r="I65" s="4"/>
      <c r="J65" s="4"/>
      <c r="K65" s="4"/>
      <c r="M65" s="4"/>
      <c r="N65" s="4"/>
      <c r="O65" s="4"/>
      <c r="P65" s="4"/>
    </row>
    <row r="66" spans="1:16" x14ac:dyDescent="0.25">
      <c r="A66" s="4" t="s">
        <v>58</v>
      </c>
      <c r="B66" s="4">
        <v>1</v>
      </c>
      <c r="C66" s="25" t="s">
        <v>94</v>
      </c>
      <c r="D66" s="4"/>
      <c r="E66" s="4"/>
      <c r="F66" s="4"/>
      <c r="G66" s="4"/>
      <c r="H66" s="4"/>
      <c r="I66" s="4"/>
      <c r="J66" s="4"/>
      <c r="K66" s="4"/>
      <c r="M66" s="4"/>
      <c r="N66" s="4"/>
      <c r="O66" s="4"/>
      <c r="P66" s="4"/>
    </row>
    <row r="67" spans="1:16" x14ac:dyDescent="0.25">
      <c r="A67" s="4" t="s">
        <v>69</v>
      </c>
      <c r="B67" s="4"/>
      <c r="C67" s="25"/>
      <c r="D67" s="4" t="s">
        <v>188</v>
      </c>
      <c r="E67" s="4"/>
      <c r="F67" s="4"/>
      <c r="G67" s="4"/>
      <c r="H67" s="4"/>
      <c r="I67" s="4"/>
      <c r="J67" s="4"/>
      <c r="K67" s="4"/>
      <c r="M67" s="4"/>
      <c r="N67" s="4"/>
      <c r="O67" s="4"/>
      <c r="P67" s="4"/>
    </row>
    <row r="68" spans="1:16" x14ac:dyDescent="0.25">
      <c r="A68" s="4" t="s">
        <v>156</v>
      </c>
      <c r="B68" s="4"/>
      <c r="C68" s="25" t="s">
        <v>94</v>
      </c>
      <c r="D68" s="4"/>
      <c r="E68" s="4"/>
      <c r="F68" s="4"/>
      <c r="G68" s="4"/>
      <c r="H68" s="4"/>
      <c r="I68" s="4"/>
      <c r="J68" s="4"/>
      <c r="K68" s="4"/>
      <c r="M68" s="4"/>
      <c r="N68" s="4"/>
      <c r="O68" s="4"/>
      <c r="P68" s="4"/>
    </row>
    <row r="69" spans="1:16" x14ac:dyDescent="0.25">
      <c r="A69" s="4"/>
      <c r="B69" s="4"/>
      <c r="C69" s="25"/>
      <c r="D69" s="4"/>
      <c r="E69" s="4"/>
      <c r="F69" s="4"/>
      <c r="G69" s="4"/>
      <c r="H69" s="4"/>
      <c r="I69" s="4"/>
      <c r="J69" s="4"/>
      <c r="K69" s="4"/>
      <c r="M69" s="4"/>
      <c r="N69" s="4"/>
      <c r="O69" s="4"/>
      <c r="P69" s="4"/>
    </row>
    <row r="70" spans="1:16" ht="15.75" x14ac:dyDescent="0.25">
      <c r="A70" s="8" t="s">
        <v>127</v>
      </c>
      <c r="B70" s="11"/>
      <c r="C70" s="26"/>
      <c r="D70" s="12"/>
      <c r="E70" s="4"/>
      <c r="F70" s="4"/>
      <c r="G70" s="4"/>
      <c r="H70" s="4"/>
      <c r="I70" s="4"/>
      <c r="J70" s="4"/>
      <c r="K70" s="4"/>
      <c r="M70" s="4"/>
      <c r="N70" s="4"/>
      <c r="O70" s="4"/>
      <c r="P70" s="4"/>
    </row>
    <row r="71" spans="1:16" ht="15.75" x14ac:dyDescent="0.25">
      <c r="A71" s="10" t="s">
        <v>168</v>
      </c>
      <c r="B71" s="4"/>
      <c r="C71" s="25" t="s">
        <v>94</v>
      </c>
      <c r="D71" s="4"/>
      <c r="E71" s="4"/>
      <c r="F71" s="4"/>
      <c r="G71" s="4"/>
      <c r="H71" s="4"/>
      <c r="I71" s="4"/>
      <c r="J71" s="4"/>
      <c r="K71" s="4"/>
      <c r="M71" s="4"/>
      <c r="N71" s="4"/>
      <c r="O71" s="4"/>
      <c r="P71" s="4"/>
    </row>
    <row r="72" spans="1:16" x14ac:dyDescent="0.25">
      <c r="A72" s="4" t="s">
        <v>60</v>
      </c>
      <c r="B72" s="4"/>
      <c r="C72" s="25" t="s">
        <v>94</v>
      </c>
      <c r="D72" s="4"/>
      <c r="E72" s="4"/>
      <c r="F72" s="4"/>
      <c r="G72" s="4"/>
      <c r="H72" s="4"/>
      <c r="I72" s="4"/>
      <c r="J72" s="4"/>
      <c r="K72" s="4"/>
      <c r="M72" s="4"/>
      <c r="N72" s="4"/>
      <c r="O72" s="4"/>
      <c r="P72" s="4"/>
    </row>
    <row r="73" spans="1:16" x14ac:dyDescent="0.25">
      <c r="A73" s="4" t="s">
        <v>61</v>
      </c>
      <c r="B73" s="4"/>
      <c r="C73" s="25" t="s">
        <v>94</v>
      </c>
      <c r="D73" s="4"/>
      <c r="E73" s="4"/>
      <c r="F73" s="4"/>
      <c r="G73" s="4"/>
      <c r="H73" s="4"/>
      <c r="I73" s="4"/>
      <c r="J73" s="4"/>
      <c r="K73" s="4"/>
      <c r="M73" s="4"/>
      <c r="N73" s="4"/>
      <c r="O73" s="4"/>
      <c r="P73" s="4"/>
    </row>
    <row r="74" spans="1:16" x14ac:dyDescent="0.25">
      <c r="A74" s="4" t="s">
        <v>186</v>
      </c>
      <c r="B74" s="4"/>
      <c r="C74" s="25" t="s">
        <v>94</v>
      </c>
      <c r="D74" s="4"/>
      <c r="E74" s="4"/>
      <c r="F74" s="4"/>
      <c r="G74" s="4"/>
      <c r="H74" s="4"/>
      <c r="I74" s="4"/>
      <c r="J74" s="4"/>
      <c r="K74" s="4"/>
      <c r="M74" s="4"/>
      <c r="N74" s="4"/>
      <c r="O74" s="4"/>
      <c r="P74" s="4"/>
    </row>
    <row r="75" spans="1:16" x14ac:dyDescent="0.25">
      <c r="A75" s="4" t="s">
        <v>167</v>
      </c>
      <c r="B75" s="4"/>
      <c r="C75" s="25" t="s">
        <v>94</v>
      </c>
      <c r="D75" s="4"/>
      <c r="E75" s="4"/>
      <c r="F75" s="4"/>
      <c r="G75" s="4"/>
      <c r="H75" s="4"/>
      <c r="I75" s="4"/>
      <c r="J75" s="4"/>
      <c r="K75" s="4"/>
      <c r="M75" s="4"/>
      <c r="N75" s="4"/>
      <c r="O75" s="4"/>
      <c r="P75" s="4"/>
    </row>
    <row r="76" spans="1:16" x14ac:dyDescent="0.25">
      <c r="A76" s="4" t="s">
        <v>62</v>
      </c>
      <c r="B76" s="4"/>
      <c r="C76" s="25" t="s">
        <v>94</v>
      </c>
      <c r="D76" s="4"/>
      <c r="E76" s="4"/>
      <c r="F76" s="4"/>
      <c r="G76" s="4"/>
      <c r="H76" s="4"/>
      <c r="I76" s="4"/>
      <c r="J76" s="4"/>
      <c r="K76" s="4"/>
      <c r="M76" s="4"/>
      <c r="N76" s="4"/>
      <c r="O76" s="4"/>
      <c r="P76" s="4"/>
    </row>
    <row r="77" spans="1:16" x14ac:dyDescent="0.25">
      <c r="A77" s="4" t="s">
        <v>28</v>
      </c>
      <c r="B77" s="4"/>
      <c r="C77" s="25" t="s">
        <v>94</v>
      </c>
      <c r="D77" s="4"/>
      <c r="E77" s="4"/>
      <c r="F77" s="4"/>
      <c r="G77" s="4"/>
      <c r="H77" s="4"/>
      <c r="I77" s="4"/>
      <c r="J77" s="4"/>
      <c r="K77" s="4"/>
      <c r="M77" s="4"/>
      <c r="N77" s="4"/>
      <c r="O77" s="4"/>
      <c r="P77" s="4"/>
    </row>
    <row r="78" spans="1:16" x14ac:dyDescent="0.25">
      <c r="A78" s="4" t="s">
        <v>63</v>
      </c>
      <c r="B78" s="4"/>
      <c r="C78" s="25" t="s">
        <v>94</v>
      </c>
      <c r="D78" s="4"/>
      <c r="E78" s="4"/>
      <c r="F78" s="4"/>
      <c r="G78" s="4"/>
      <c r="H78" s="4"/>
      <c r="I78" s="4"/>
      <c r="J78" s="4"/>
      <c r="K78" s="4"/>
      <c r="M78" s="4"/>
      <c r="N78" s="4"/>
      <c r="O78" s="4"/>
      <c r="P78" s="4"/>
    </row>
    <row r="79" spans="1:16" x14ac:dyDescent="0.25">
      <c r="A79" s="4" t="s">
        <v>44</v>
      </c>
      <c r="B79" s="4">
        <v>1</v>
      </c>
      <c r="C79" s="25" t="s">
        <v>94</v>
      </c>
      <c r="D79" s="4"/>
      <c r="E79" s="4"/>
      <c r="F79" s="4"/>
      <c r="G79" s="4"/>
      <c r="H79" s="4"/>
      <c r="I79" s="4"/>
      <c r="J79" s="4"/>
      <c r="K79" s="4"/>
      <c r="M79" s="4"/>
      <c r="N79" s="4"/>
      <c r="O79" s="4"/>
      <c r="P79" s="4"/>
    </row>
    <row r="80" spans="1:16" x14ac:dyDescent="0.25">
      <c r="A80" s="4" t="s">
        <v>64</v>
      </c>
      <c r="B80" s="4"/>
      <c r="C80" s="25" t="s">
        <v>94</v>
      </c>
      <c r="D80" s="4"/>
      <c r="E80" s="4"/>
      <c r="F80" s="4"/>
      <c r="G80" s="4"/>
      <c r="H80" s="4"/>
      <c r="I80" s="4"/>
      <c r="J80" s="4"/>
      <c r="K80" s="4"/>
      <c r="M80" s="4"/>
      <c r="N80" s="4"/>
      <c r="O80" s="4"/>
      <c r="P80" s="4"/>
    </row>
    <row r="81" spans="1:16" x14ac:dyDescent="0.25">
      <c r="A81" s="4" t="s">
        <v>68</v>
      </c>
      <c r="B81" s="4">
        <v>1</v>
      </c>
      <c r="C81" s="25" t="s">
        <v>94</v>
      </c>
      <c r="D81" s="4"/>
      <c r="E81" s="4"/>
      <c r="F81" s="4"/>
      <c r="G81" s="4"/>
      <c r="H81" s="4"/>
      <c r="I81" s="4"/>
      <c r="J81" s="4"/>
      <c r="K81" s="4"/>
      <c r="M81" s="4"/>
      <c r="N81" s="4"/>
      <c r="O81" s="4"/>
      <c r="P81" s="4"/>
    </row>
    <row r="82" spans="1:16" x14ac:dyDescent="0.25">
      <c r="A82" s="15" t="s">
        <v>65</v>
      </c>
      <c r="B82" s="15"/>
      <c r="C82" s="28" t="s">
        <v>94</v>
      </c>
      <c r="D82" s="4"/>
      <c r="E82" s="4"/>
      <c r="G82" s="4"/>
      <c r="H82" s="4"/>
      <c r="I82" s="4"/>
      <c r="J82" s="4"/>
      <c r="K82" s="4"/>
      <c r="M82" s="4"/>
      <c r="N82" s="4"/>
      <c r="O82" s="4"/>
      <c r="P82" s="4"/>
    </row>
    <row r="83" spans="1:16" x14ac:dyDescent="0.25">
      <c r="A83" s="29" t="s">
        <v>173</v>
      </c>
      <c r="B83" s="19"/>
      <c r="C83" s="30">
        <f>SUM(C4:C82)</f>
        <v>56</v>
      </c>
      <c r="D83" s="4"/>
      <c r="E83" s="4"/>
      <c r="F83" s="4"/>
      <c r="G83" s="4"/>
      <c r="H83" s="4"/>
      <c r="I83" s="4"/>
      <c r="J83" s="4"/>
      <c r="K83" s="4"/>
      <c r="M83" s="4"/>
      <c r="N83" s="4"/>
      <c r="O83" s="4"/>
      <c r="P83" s="4"/>
    </row>
    <row r="84" spans="1:16" x14ac:dyDescent="0.25">
      <c r="A84" s="16"/>
      <c r="B84" s="4"/>
      <c r="C84" s="17"/>
      <c r="D84" s="4"/>
      <c r="E84" s="4"/>
      <c r="F84" s="4"/>
      <c r="G84" s="4"/>
      <c r="H84" s="4"/>
      <c r="I84" s="4"/>
      <c r="J84" s="4"/>
      <c r="K84" s="4"/>
      <c r="M84" s="4"/>
      <c r="N84" s="4"/>
      <c r="O84" s="4"/>
      <c r="P84" s="4"/>
    </row>
    <row r="85" spans="1:16" x14ac:dyDescent="0.25">
      <c r="A85" s="16"/>
      <c r="B85" s="4"/>
      <c r="C85" s="17"/>
      <c r="D85" s="4"/>
      <c r="E85" s="4"/>
      <c r="F85" s="4"/>
      <c r="G85" s="4"/>
      <c r="H85" s="4"/>
      <c r="I85" s="4"/>
      <c r="J85" s="4"/>
      <c r="K85" s="4"/>
      <c r="M85" s="4"/>
      <c r="N85" s="4"/>
      <c r="O85" s="4"/>
      <c r="P85" s="4"/>
    </row>
    <row r="86" spans="1:16" ht="21" x14ac:dyDescent="0.35">
      <c r="A86" s="36" t="s">
        <v>128</v>
      </c>
      <c r="B86" s="36"/>
      <c r="C86" s="36"/>
      <c r="D86" s="36"/>
      <c r="E86" s="36"/>
      <c r="F86" s="4"/>
      <c r="G86" s="4"/>
      <c r="H86" s="4"/>
      <c r="I86" s="4"/>
      <c r="J86" s="4"/>
      <c r="K86" s="4"/>
      <c r="M86" s="4"/>
      <c r="N86" s="4"/>
      <c r="O86" s="4"/>
      <c r="P86" s="4"/>
    </row>
    <row r="87" spans="1:16" ht="15.75" x14ac:dyDescent="0.25">
      <c r="A87" s="5" t="s">
        <v>0</v>
      </c>
      <c r="B87" s="6" t="s">
        <v>171</v>
      </c>
      <c r="C87" s="6" t="s">
        <v>172</v>
      </c>
      <c r="D87" s="7" t="s">
        <v>99</v>
      </c>
      <c r="E87" s="4"/>
      <c r="F87" s="4"/>
      <c r="G87" s="4"/>
      <c r="H87" s="4"/>
      <c r="I87" s="4"/>
      <c r="J87" s="4"/>
      <c r="K87" s="4"/>
      <c r="M87" s="4"/>
      <c r="N87" s="4"/>
      <c r="O87" s="4"/>
      <c r="P87" s="4"/>
    </row>
    <row r="88" spans="1:16" x14ac:dyDescent="0.25">
      <c r="A88" s="4" t="s">
        <v>71</v>
      </c>
      <c r="B88" s="4">
        <v>2</v>
      </c>
      <c r="C88" s="4">
        <v>51</v>
      </c>
      <c r="D88" s="4"/>
      <c r="E88" s="4"/>
      <c r="F88" s="4"/>
      <c r="G88" s="4"/>
      <c r="H88" s="4"/>
      <c r="I88" s="4"/>
      <c r="J88" s="4"/>
      <c r="K88" s="4"/>
      <c r="M88" s="4"/>
      <c r="N88" s="4"/>
      <c r="O88" s="4"/>
      <c r="P88" s="4"/>
    </row>
    <row r="89" spans="1:16" x14ac:dyDescent="0.25">
      <c r="A89" s="4" t="s">
        <v>105</v>
      </c>
      <c r="B89" s="4">
        <v>2</v>
      </c>
      <c r="C89" s="4">
        <v>38</v>
      </c>
      <c r="D89" s="4"/>
      <c r="E89" s="4"/>
      <c r="F89" s="4"/>
      <c r="G89" s="4"/>
      <c r="H89" s="4"/>
      <c r="I89" s="4"/>
      <c r="J89" s="4"/>
      <c r="K89" s="4"/>
      <c r="M89" s="4"/>
      <c r="N89" s="4"/>
      <c r="O89" s="4"/>
      <c r="P89" s="4"/>
    </row>
    <row r="90" spans="1:16" x14ac:dyDescent="0.25">
      <c r="A90" s="4" t="s">
        <v>72</v>
      </c>
      <c r="B90" s="4">
        <v>2</v>
      </c>
      <c r="C90" s="4">
        <v>52</v>
      </c>
      <c r="D90" s="4"/>
      <c r="E90" s="4"/>
      <c r="F90" s="4"/>
      <c r="G90" s="4"/>
      <c r="H90" s="4"/>
      <c r="I90" s="4"/>
      <c r="J90" s="4"/>
      <c r="K90" s="4"/>
      <c r="M90" s="4"/>
      <c r="N90" s="4"/>
      <c r="O90" s="4"/>
      <c r="P90" s="4"/>
    </row>
    <row r="91" spans="1:16" x14ac:dyDescent="0.25">
      <c r="A91" s="4" t="s">
        <v>137</v>
      </c>
      <c r="B91" s="4">
        <v>1</v>
      </c>
      <c r="C91" s="25" t="s">
        <v>94</v>
      </c>
      <c r="D91" s="4"/>
      <c r="E91" s="4"/>
      <c r="F91" s="4"/>
      <c r="G91" s="4"/>
      <c r="H91" s="4"/>
      <c r="I91" s="4"/>
      <c r="J91" s="4"/>
      <c r="K91" s="4"/>
      <c r="M91" s="4"/>
      <c r="N91" s="4"/>
      <c r="O91" s="4"/>
      <c r="P91" s="4"/>
    </row>
    <row r="92" spans="1:16" x14ac:dyDescent="0.25">
      <c r="A92" s="4" t="s">
        <v>74</v>
      </c>
      <c r="B92" s="4"/>
      <c r="C92" s="4">
        <v>32</v>
      </c>
      <c r="D92" s="4"/>
      <c r="E92" s="4"/>
      <c r="F92" s="4"/>
      <c r="G92" s="4"/>
      <c r="H92" s="4"/>
      <c r="I92" s="4"/>
      <c r="J92" s="4"/>
      <c r="K92" s="4"/>
      <c r="M92" s="4"/>
      <c r="N92" s="4"/>
      <c r="O92" s="4"/>
      <c r="P92" s="4"/>
    </row>
    <row r="93" spans="1:16" x14ac:dyDescent="0.25">
      <c r="A93" s="4" t="s">
        <v>95</v>
      </c>
      <c r="B93" s="4"/>
      <c r="C93" s="4">
        <v>48</v>
      </c>
      <c r="D93" s="4"/>
      <c r="E93" s="4"/>
      <c r="F93" s="4"/>
      <c r="G93" s="4"/>
      <c r="H93" s="4"/>
      <c r="I93" s="4"/>
      <c r="J93" s="4"/>
      <c r="K93" s="4"/>
      <c r="M93" s="4"/>
      <c r="N93" s="4"/>
      <c r="O93" s="4"/>
      <c r="P93" s="4"/>
    </row>
    <row r="94" spans="1:16" x14ac:dyDescent="0.25">
      <c r="A94" s="4" t="s">
        <v>79</v>
      </c>
      <c r="B94" s="4">
        <v>2</v>
      </c>
      <c r="C94" s="4">
        <v>53</v>
      </c>
      <c r="D94" s="4"/>
      <c r="E94" s="4"/>
      <c r="F94" s="4"/>
      <c r="G94" s="4"/>
      <c r="H94" s="4"/>
      <c r="I94" s="4"/>
      <c r="J94" s="4"/>
      <c r="K94" s="4"/>
      <c r="M94" s="4"/>
      <c r="N94" s="4"/>
      <c r="O94" s="4"/>
      <c r="P94" s="4"/>
    </row>
    <row r="95" spans="1:16" x14ac:dyDescent="0.25">
      <c r="A95" s="4" t="s">
        <v>80</v>
      </c>
      <c r="B95" s="4"/>
      <c r="C95" s="4">
        <v>52</v>
      </c>
      <c r="D95" s="4"/>
      <c r="E95" s="4"/>
      <c r="F95" s="4"/>
      <c r="G95" s="4"/>
      <c r="H95" s="4"/>
      <c r="I95" s="4"/>
      <c r="J95" s="4"/>
      <c r="K95" s="4"/>
      <c r="M95" s="4"/>
      <c r="N95" s="4"/>
      <c r="O95" s="4"/>
      <c r="P95" s="4"/>
    </row>
    <row r="96" spans="1:16" x14ac:dyDescent="0.25">
      <c r="A96" s="4" t="s">
        <v>81</v>
      </c>
      <c r="B96" s="4">
        <v>1</v>
      </c>
      <c r="C96" s="4">
        <v>30</v>
      </c>
      <c r="D96" s="4" t="s">
        <v>189</v>
      </c>
      <c r="E96" s="4"/>
      <c r="F96" s="4"/>
      <c r="G96" s="4"/>
      <c r="H96" s="4"/>
      <c r="I96" s="4"/>
      <c r="J96" s="4"/>
      <c r="K96" s="4"/>
      <c r="M96" s="4"/>
      <c r="N96" s="4"/>
      <c r="O96" s="4"/>
      <c r="P96" s="4"/>
    </row>
    <row r="97" spans="1:16" x14ac:dyDescent="0.25">
      <c r="A97" s="4" t="s">
        <v>82</v>
      </c>
      <c r="B97" s="4"/>
      <c r="C97" s="4">
        <v>34</v>
      </c>
      <c r="D97" s="4"/>
      <c r="E97" s="4"/>
      <c r="F97" s="4"/>
      <c r="G97" s="4"/>
      <c r="H97" s="4"/>
      <c r="I97" s="4"/>
      <c r="J97" s="4"/>
      <c r="K97" s="4"/>
      <c r="M97" s="4"/>
      <c r="N97" s="4"/>
      <c r="O97" s="4"/>
      <c r="P97" s="4"/>
    </row>
    <row r="98" spans="1:16" x14ac:dyDescent="0.25">
      <c r="A98" s="4" t="s">
        <v>138</v>
      </c>
      <c r="B98" s="4">
        <v>1</v>
      </c>
      <c r="C98" s="4">
        <v>20</v>
      </c>
      <c r="D98" s="4"/>
      <c r="E98" s="4"/>
      <c r="F98" s="4"/>
      <c r="G98" s="4"/>
      <c r="H98" s="4"/>
      <c r="I98" s="4"/>
      <c r="J98" s="4"/>
      <c r="K98" s="4"/>
      <c r="M98" s="4"/>
      <c r="N98" s="4"/>
      <c r="O98" s="4"/>
      <c r="P98" s="4"/>
    </row>
    <row r="99" spans="1:16" x14ac:dyDescent="0.25">
      <c r="A99" s="4" t="s">
        <v>84</v>
      </c>
      <c r="B99" s="4">
        <v>1</v>
      </c>
      <c r="C99" s="4">
        <v>30</v>
      </c>
      <c r="D99" s="4"/>
      <c r="E99" s="4"/>
      <c r="F99" s="4"/>
      <c r="G99" s="4"/>
      <c r="H99" s="4"/>
      <c r="I99" s="4"/>
      <c r="J99" s="4"/>
      <c r="K99" s="4"/>
      <c r="M99" s="4"/>
      <c r="N99" s="4"/>
      <c r="O99" s="4"/>
      <c r="P99" s="4"/>
    </row>
    <row r="100" spans="1:16" x14ac:dyDescent="0.25">
      <c r="A100" s="4" t="s">
        <v>187</v>
      </c>
      <c r="B100" s="4">
        <v>1</v>
      </c>
      <c r="C100" s="4">
        <v>50</v>
      </c>
      <c r="D100" s="4"/>
      <c r="E100" s="4"/>
      <c r="F100" s="4"/>
      <c r="G100" s="4"/>
      <c r="H100" s="4"/>
      <c r="I100" s="4"/>
      <c r="J100" s="4"/>
      <c r="K100" s="4"/>
      <c r="M100" s="4"/>
      <c r="N100" s="4"/>
      <c r="O100" s="4"/>
      <c r="P100" s="4"/>
    </row>
    <row r="101" spans="1:16" x14ac:dyDescent="0.25">
      <c r="A101" s="4" t="s">
        <v>88</v>
      </c>
      <c r="B101" s="4"/>
      <c r="C101" s="4">
        <v>52</v>
      </c>
      <c r="D101" s="4"/>
      <c r="E101" s="4"/>
      <c r="F101" s="4"/>
      <c r="G101" s="4"/>
      <c r="H101" s="4"/>
      <c r="I101" s="4"/>
      <c r="J101" s="4"/>
      <c r="K101" s="4"/>
      <c r="M101" s="4"/>
      <c r="N101" s="4"/>
      <c r="O101" s="4"/>
      <c r="P101" s="4"/>
    </row>
    <row r="102" spans="1:16" x14ac:dyDescent="0.25">
      <c r="A102" s="4" t="s">
        <v>87</v>
      </c>
      <c r="B102" s="4"/>
      <c r="C102" s="4">
        <v>50</v>
      </c>
      <c r="D102" s="4"/>
      <c r="E102" s="4"/>
      <c r="F102" s="4"/>
      <c r="G102" s="4"/>
      <c r="H102" s="4"/>
      <c r="I102" s="4"/>
      <c r="J102" s="4"/>
      <c r="K102" s="4"/>
      <c r="M102" s="4"/>
      <c r="N102" s="4"/>
      <c r="O102" s="4"/>
      <c r="P102" s="4"/>
    </row>
    <row r="103" spans="1:16" x14ac:dyDescent="0.25">
      <c r="A103" s="4" t="s">
        <v>90</v>
      </c>
      <c r="B103" s="4">
        <v>6</v>
      </c>
      <c r="C103" s="4">
        <v>31</v>
      </c>
      <c r="D103" s="4"/>
      <c r="E103" s="4"/>
      <c r="F103" s="4"/>
      <c r="G103" s="4"/>
      <c r="H103" s="4"/>
      <c r="I103" s="4"/>
      <c r="J103" s="4"/>
      <c r="K103" s="4"/>
      <c r="M103" s="4"/>
      <c r="N103" s="4"/>
      <c r="O103" s="4"/>
      <c r="P103" s="4"/>
    </row>
    <row r="104" spans="1:16" x14ac:dyDescent="0.25">
      <c r="A104" s="15" t="s">
        <v>31</v>
      </c>
      <c r="B104" s="15">
        <v>4</v>
      </c>
      <c r="C104" s="15">
        <v>48</v>
      </c>
      <c r="D104" s="4"/>
      <c r="E104" s="4"/>
      <c r="F104" s="4"/>
      <c r="G104" s="4"/>
      <c r="H104" s="4"/>
      <c r="I104" s="4"/>
      <c r="J104" s="4"/>
      <c r="K104" s="4"/>
      <c r="M104" s="4"/>
      <c r="N104" s="4"/>
      <c r="O104" s="4"/>
      <c r="P104" s="4"/>
    </row>
    <row r="105" spans="1:16" x14ac:dyDescent="0.25">
      <c r="A105" s="31" t="s">
        <v>120</v>
      </c>
      <c r="B105" s="19"/>
      <c r="C105" s="30">
        <f>SUM(C88:C104)</f>
        <v>671</v>
      </c>
      <c r="D105" s="4"/>
      <c r="E105" s="4"/>
      <c r="F105" s="4"/>
      <c r="G105" s="4"/>
      <c r="H105" s="4"/>
      <c r="I105" s="4"/>
      <c r="J105" s="4"/>
      <c r="K105" s="4"/>
      <c r="M105" s="4"/>
      <c r="N105" s="4"/>
      <c r="O105" s="4"/>
      <c r="P105" s="4"/>
    </row>
    <row r="106" spans="1:16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M106" s="4"/>
      <c r="N106" s="4"/>
      <c r="O106" s="4"/>
      <c r="P106" s="4"/>
    </row>
    <row r="107" spans="1:16" ht="15.75" x14ac:dyDescent="0.25">
      <c r="A107" s="8" t="s">
        <v>129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M107" s="4"/>
      <c r="N107" s="4"/>
      <c r="O107" s="4"/>
      <c r="P107" s="4"/>
    </row>
    <row r="108" spans="1:16" x14ac:dyDescent="0.25">
      <c r="A108" s="4" t="s">
        <v>92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M108" s="4"/>
      <c r="N108" s="4"/>
      <c r="O108" s="4"/>
      <c r="P108" s="4"/>
    </row>
    <row r="109" spans="1:16" x14ac:dyDescent="0.25">
      <c r="A109" s="4" t="s">
        <v>93</v>
      </c>
      <c r="B109" s="4">
        <v>6</v>
      </c>
      <c r="C109" s="4">
        <v>77</v>
      </c>
      <c r="D109" s="4"/>
      <c r="E109" s="4"/>
      <c r="F109" s="4"/>
      <c r="G109" s="4"/>
      <c r="H109" s="4"/>
      <c r="I109" s="4"/>
      <c r="J109" s="4"/>
      <c r="K109" s="4"/>
      <c r="M109" s="4"/>
      <c r="N109" s="4"/>
      <c r="O109" s="4"/>
      <c r="P109" s="4"/>
    </row>
    <row r="110" spans="1:16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M110" s="4"/>
      <c r="N110" s="4"/>
      <c r="O110" s="4"/>
      <c r="P110" s="4"/>
    </row>
    <row r="111" spans="1:16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M111" s="4"/>
      <c r="N111" s="4"/>
      <c r="O111" s="4"/>
      <c r="P111" s="4"/>
    </row>
    <row r="112" spans="1:16" ht="21" x14ac:dyDescent="0.35">
      <c r="A112" s="37" t="s">
        <v>181</v>
      </c>
      <c r="B112" s="37"/>
      <c r="C112" s="37"/>
      <c r="D112" s="37"/>
      <c r="E112" s="37"/>
      <c r="F112" s="4"/>
      <c r="G112" s="4"/>
      <c r="H112" s="4"/>
      <c r="I112" s="4"/>
      <c r="J112" s="4"/>
      <c r="K112" s="4"/>
      <c r="M112" s="4"/>
      <c r="N112" s="4"/>
      <c r="O112" s="4"/>
      <c r="P112" s="4"/>
    </row>
    <row r="113" spans="1:16" ht="15.75" x14ac:dyDescent="0.25">
      <c r="A113" s="20" t="s">
        <v>180</v>
      </c>
      <c r="B113" s="19"/>
      <c r="C113" s="19"/>
      <c r="D113" s="19"/>
      <c r="E113" s="19"/>
      <c r="F113" s="4"/>
      <c r="G113" s="4"/>
      <c r="H113" s="4"/>
      <c r="I113" s="4"/>
      <c r="J113" s="4"/>
      <c r="K113" s="22"/>
      <c r="M113" s="4"/>
      <c r="N113" s="4"/>
      <c r="O113" s="4"/>
      <c r="P113" s="4"/>
    </row>
    <row r="114" spans="1:16" ht="15.75" x14ac:dyDescent="0.25">
      <c r="A114" s="4" t="s">
        <v>174</v>
      </c>
      <c r="B114" s="4"/>
      <c r="C114" cm="1">
        <f t="array" ref="C114">SUMPRODUCT(
 (A:A&lt;&gt;"") *
 (ISNA(MATCH(A:A, Config!B:B, 0)))
)</f>
        <v>87</v>
      </c>
      <c r="D114" s="4"/>
      <c r="E114" s="4"/>
      <c r="F114" s="4"/>
      <c r="G114" s="4"/>
      <c r="H114" s="4"/>
      <c r="I114" s="4"/>
      <c r="J114" s="4"/>
      <c r="K114" s="8"/>
      <c r="M114" s="4"/>
      <c r="N114" s="4"/>
      <c r="O114" s="4"/>
      <c r="P114" s="4"/>
    </row>
    <row r="115" spans="1:16" ht="15.75" x14ac:dyDescent="0.25">
      <c r="A115" s="4" t="s">
        <v>175</v>
      </c>
      <c r="B115" s="4"/>
      <c r="C115">
        <f>COUNTA(C4:C82)</f>
        <v>56</v>
      </c>
      <c r="D115" s="4"/>
      <c r="E115" s="4"/>
      <c r="F115" s="4"/>
      <c r="G115" s="4"/>
      <c r="H115" s="4"/>
      <c r="I115" s="4"/>
      <c r="J115" s="4"/>
      <c r="K115" s="8"/>
      <c r="M115" s="4"/>
      <c r="N115" s="4"/>
      <c r="O115" s="4"/>
      <c r="P115" s="4"/>
    </row>
    <row r="116" spans="1:16" ht="15.75" x14ac:dyDescent="0.25">
      <c r="A116" s="4" t="s">
        <v>176</v>
      </c>
      <c r="B116" s="4"/>
      <c r="C116">
        <f>SUM(B4:B82)</f>
        <v>9</v>
      </c>
      <c r="D116" s="4"/>
      <c r="E116" s="4"/>
      <c r="F116" s="4"/>
      <c r="G116" s="4"/>
      <c r="H116" s="4"/>
      <c r="I116" s="4"/>
      <c r="J116" s="4"/>
      <c r="K116" s="8"/>
      <c r="M116" s="4"/>
      <c r="N116" s="4"/>
      <c r="O116" s="4"/>
      <c r="P116" s="4"/>
    </row>
    <row r="117" spans="1:16" ht="15.75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8"/>
      <c r="M117" s="4"/>
      <c r="N117" s="4"/>
      <c r="O117" s="4"/>
      <c r="P117" s="4"/>
    </row>
    <row r="118" spans="1:16" ht="15.75" x14ac:dyDescent="0.25">
      <c r="A118" s="4" t="s">
        <v>177</v>
      </c>
      <c r="B118" s="4"/>
      <c r="C118">
        <f>COUNT(C4:C82)</f>
        <v>2</v>
      </c>
      <c r="D118" s="4"/>
      <c r="E118" s="4"/>
      <c r="F118" s="4"/>
      <c r="G118" s="4"/>
      <c r="H118" s="4"/>
      <c r="I118" s="4"/>
      <c r="J118" s="4"/>
      <c r="K118" s="8"/>
      <c r="M118" s="4"/>
      <c r="N118" s="4"/>
      <c r="O118" s="4"/>
      <c r="P118" s="4"/>
    </row>
    <row r="119" spans="1:16" x14ac:dyDescent="0.25">
      <c r="A119" s="4" t="s">
        <v>178</v>
      </c>
      <c r="B119" s="4"/>
      <c r="C119" cm="1">
        <f t="array" ref="C119">SUMPRODUCT(ISNUMBER(C4:C82)*(B4:B82))</f>
        <v>0</v>
      </c>
      <c r="D119" s="4"/>
      <c r="E119" s="4"/>
      <c r="F119" s="4"/>
      <c r="G119" s="4"/>
      <c r="H119" s="4"/>
      <c r="I119" s="4"/>
      <c r="J119" s="4"/>
      <c r="K119" s="16"/>
      <c r="M119" s="4"/>
      <c r="N119" s="4"/>
      <c r="O119" s="4"/>
      <c r="P119" s="4"/>
    </row>
    <row r="120" spans="1:16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18"/>
      <c r="M120" s="4"/>
      <c r="N120" s="4"/>
      <c r="O120" s="4"/>
      <c r="P120" s="4"/>
    </row>
    <row r="121" spans="1:16" ht="15.75" x14ac:dyDescent="0.25">
      <c r="A121" s="4" t="s">
        <v>128</v>
      </c>
      <c r="B121" s="4"/>
      <c r="C121">
        <f>COUNTA(A88:A104)</f>
        <v>17</v>
      </c>
      <c r="D121" s="4"/>
      <c r="E121" s="4"/>
      <c r="F121" s="4"/>
      <c r="G121" s="4"/>
      <c r="H121" s="4"/>
      <c r="I121" s="4"/>
      <c r="J121" s="4"/>
      <c r="K121" s="8"/>
      <c r="M121" s="4"/>
      <c r="N121" s="4"/>
      <c r="O121" s="4"/>
      <c r="P121" s="4"/>
    </row>
    <row r="122" spans="1:16" ht="15.75" x14ac:dyDescent="0.25">
      <c r="A122" s="4" t="s">
        <v>179</v>
      </c>
      <c r="B122" s="4"/>
      <c r="C122">
        <f>SUM(B88:B104)</f>
        <v>23</v>
      </c>
      <c r="D122" s="4"/>
      <c r="E122" s="4"/>
      <c r="F122" s="4"/>
      <c r="G122" s="4"/>
      <c r="H122" s="4"/>
      <c r="I122" s="4"/>
      <c r="J122" s="4"/>
      <c r="K122" s="8"/>
      <c r="M122" s="4"/>
      <c r="N122" s="4"/>
      <c r="O122" s="4"/>
      <c r="P122" s="4"/>
    </row>
    <row r="123" spans="1:16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M123" s="4"/>
      <c r="N123" s="4"/>
      <c r="O123" s="4"/>
      <c r="P123" s="4"/>
    </row>
    <row r="124" spans="1:16" x14ac:dyDescent="0.25">
      <c r="A124" s="4" t="s">
        <v>113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M124" s="4"/>
      <c r="N124" s="4"/>
      <c r="O124" s="4"/>
      <c r="P124" s="4"/>
    </row>
    <row r="125" spans="1:16" x14ac:dyDescent="0.25">
      <c r="A125" s="4" t="s">
        <v>122</v>
      </c>
      <c r="B125" s="4"/>
      <c r="C125">
        <f>SUM(B:B)</f>
        <v>38</v>
      </c>
      <c r="D125" s="4"/>
      <c r="E125" s="4"/>
      <c r="F125" s="4"/>
      <c r="G125" s="4"/>
      <c r="H125" s="4"/>
      <c r="I125" s="4"/>
      <c r="J125" s="4"/>
      <c r="K125" s="4"/>
      <c r="M125" s="4"/>
      <c r="N125" s="4"/>
      <c r="O125" s="4"/>
      <c r="P125" s="4"/>
    </row>
    <row r="126" spans="1:16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M126" s="4"/>
      <c r="N126" s="4"/>
      <c r="O126" s="4"/>
      <c r="P126" s="4"/>
    </row>
    <row r="127" spans="1:16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M127" s="4"/>
      <c r="N127" s="4"/>
      <c r="O127" s="4"/>
      <c r="P127" s="4"/>
    </row>
    <row r="128" spans="1:16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M128" s="4"/>
      <c r="N128" s="4"/>
      <c r="O128" s="4"/>
      <c r="P128" s="4"/>
    </row>
    <row r="129" spans="1:16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M129" s="4"/>
      <c r="N129" s="4"/>
      <c r="O129" s="4"/>
      <c r="P129" s="4"/>
    </row>
    <row r="130" spans="1:16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M130" s="4"/>
      <c r="N130" s="4"/>
      <c r="O130" s="4"/>
      <c r="P130" s="4"/>
    </row>
    <row r="131" spans="1:16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M131" s="4"/>
      <c r="N131" s="4"/>
      <c r="O131" s="4"/>
      <c r="P131" s="4"/>
    </row>
    <row r="132" spans="1:16" ht="21" x14ac:dyDescent="0.3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21"/>
      <c r="L132" s="21"/>
      <c r="M132" s="21"/>
      <c r="N132" s="21"/>
      <c r="O132" s="21"/>
      <c r="P132" s="4"/>
    </row>
    <row r="133" spans="1:16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M133" s="4"/>
      <c r="N133" s="4"/>
      <c r="O133" s="4"/>
      <c r="P133" s="4"/>
    </row>
    <row r="134" spans="1:16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M134" s="4"/>
      <c r="N134" s="4"/>
      <c r="O134" s="4"/>
      <c r="P134" s="4"/>
    </row>
    <row r="135" spans="1:16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M135" s="4"/>
      <c r="N135" s="4"/>
      <c r="O135" s="4"/>
      <c r="P135" s="4"/>
    </row>
    <row r="136" spans="1:16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M136" s="4"/>
      <c r="N136" s="4"/>
      <c r="O136" s="4"/>
      <c r="P136" s="4"/>
    </row>
    <row r="137" spans="1:16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M137" s="4"/>
      <c r="N137" s="4"/>
      <c r="O137" s="4"/>
      <c r="P137" s="4"/>
    </row>
    <row r="138" spans="1:16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M138" s="4"/>
      <c r="N138" s="4"/>
      <c r="O138" s="4"/>
      <c r="P138" s="4"/>
    </row>
    <row r="139" spans="1:16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M139" s="4"/>
      <c r="N139" s="4"/>
      <c r="O139" s="4"/>
      <c r="P139" s="4"/>
    </row>
    <row r="140" spans="1:16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M140" s="4"/>
      <c r="N140" s="4"/>
      <c r="O140" s="4"/>
      <c r="P140" s="4"/>
    </row>
    <row r="141" spans="1:16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M141" s="4"/>
      <c r="N141" s="4"/>
      <c r="O141" s="4"/>
      <c r="P141" s="4"/>
    </row>
  </sheetData>
  <sheetProtection selectLockedCells="1"/>
  <mergeCells count="3">
    <mergeCell ref="A86:E86"/>
    <mergeCell ref="A112:E112"/>
    <mergeCell ref="A1:E1"/>
  </mergeCells>
  <pageMargins left="0.51181102362204722" right="0.51181102362204722" top="0.78740157480314965" bottom="0.78740157480314965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0D00E-BDEB-4B70-B8CC-4805FE49096A}">
  <dimension ref="A1:P45"/>
  <sheetViews>
    <sheetView tabSelected="1" workbookViewId="0">
      <pane ySplit="2" topLeftCell="A3" activePane="bottomLeft" state="frozen"/>
      <selection pane="bottomLeft" activeCell="C28" sqref="C28"/>
    </sheetView>
  </sheetViews>
  <sheetFormatPr defaultRowHeight="15" x14ac:dyDescent="0.25"/>
  <cols>
    <col min="1" max="1" width="28.140625" customWidth="1"/>
    <col min="3" max="3" width="13.140625" customWidth="1"/>
    <col min="4" max="4" width="30.28515625" customWidth="1"/>
  </cols>
  <sheetData>
    <row r="1" spans="1:16" ht="21" x14ac:dyDescent="0.35">
      <c r="A1" s="36" t="s">
        <v>174</v>
      </c>
      <c r="B1" s="36"/>
      <c r="C1" s="36"/>
      <c r="D1" s="36"/>
      <c r="E1" s="36"/>
      <c r="F1" s="4"/>
      <c r="G1" s="4"/>
      <c r="H1" s="4"/>
      <c r="I1" s="4"/>
      <c r="J1" s="4"/>
      <c r="K1" s="4"/>
      <c r="M1" s="4"/>
      <c r="N1" s="4"/>
      <c r="O1" s="4"/>
      <c r="P1" s="4"/>
    </row>
    <row r="2" spans="1:16" ht="15.75" x14ac:dyDescent="0.25">
      <c r="A2" s="5" t="s">
        <v>0</v>
      </c>
      <c r="B2" s="6" t="s">
        <v>171</v>
      </c>
      <c r="C2" s="6" t="s">
        <v>182</v>
      </c>
      <c r="D2" s="7" t="s">
        <v>99</v>
      </c>
      <c r="E2" s="4"/>
      <c r="F2" s="4"/>
      <c r="G2" s="4"/>
      <c r="H2" s="4"/>
      <c r="I2" s="4"/>
      <c r="J2" s="4"/>
      <c r="K2" s="4"/>
      <c r="M2" s="4"/>
      <c r="N2" s="4"/>
      <c r="O2" s="4"/>
      <c r="P2" s="4"/>
    </row>
    <row r="3" spans="1:16" ht="15.75" x14ac:dyDescent="0.25">
      <c r="A3" s="8" t="s">
        <v>125</v>
      </c>
      <c r="B3" s="4"/>
      <c r="C3" s="9" t="s">
        <v>118</v>
      </c>
      <c r="D3" s="4"/>
      <c r="E3" s="4"/>
      <c r="F3" s="4"/>
      <c r="G3" s="4"/>
      <c r="H3" s="4"/>
      <c r="I3" s="4"/>
      <c r="J3" s="4"/>
      <c r="K3" s="4"/>
      <c r="M3" s="4"/>
      <c r="N3" s="4"/>
      <c r="O3" s="4"/>
    </row>
    <row r="4" spans="1:16" s="40" customFormat="1" ht="15.75" x14ac:dyDescent="0.25">
      <c r="A4" s="10" t="s">
        <v>190</v>
      </c>
      <c r="B4" s="18"/>
      <c r="C4" s="39"/>
      <c r="D4" s="18"/>
      <c r="E4" s="18"/>
      <c r="F4" s="18"/>
      <c r="G4" s="18"/>
      <c r="H4" s="18"/>
      <c r="I4" s="18"/>
      <c r="J4" s="18"/>
      <c r="K4" s="18"/>
      <c r="M4" s="18"/>
      <c r="N4" s="18"/>
      <c r="O4" s="18"/>
    </row>
    <row r="5" spans="1:16" ht="15.75" x14ac:dyDescent="0.25">
      <c r="A5" s="8" t="s">
        <v>126</v>
      </c>
      <c r="B5" s="11"/>
      <c r="C5" s="26"/>
      <c r="D5" s="12"/>
      <c r="E5" s="4"/>
      <c r="F5" s="4"/>
      <c r="G5" s="4"/>
      <c r="H5" s="4"/>
      <c r="I5" s="4"/>
      <c r="J5" s="4"/>
      <c r="K5" s="4"/>
      <c r="M5" s="4"/>
      <c r="N5" s="4"/>
      <c r="O5" s="4"/>
    </row>
    <row r="6" spans="1:16" ht="15.75" x14ac:dyDescent="0.25">
      <c r="A6" s="8" t="s">
        <v>33</v>
      </c>
      <c r="B6" s="13"/>
      <c r="C6" s="27"/>
      <c r="D6" s="14"/>
      <c r="E6" s="4"/>
      <c r="F6" s="4"/>
      <c r="G6" s="4"/>
      <c r="H6" s="4"/>
      <c r="I6" s="4"/>
      <c r="J6" s="4"/>
      <c r="K6" s="4"/>
      <c r="M6" s="4"/>
      <c r="N6" s="4"/>
      <c r="O6" s="4"/>
      <c r="P6" s="4"/>
    </row>
    <row r="7" spans="1:16" ht="15.75" x14ac:dyDescent="0.25">
      <c r="A7" s="8" t="s">
        <v>47</v>
      </c>
      <c r="B7" s="11"/>
      <c r="C7" s="26"/>
      <c r="D7" s="12"/>
      <c r="E7" s="4"/>
      <c r="F7" s="4"/>
      <c r="G7" s="4"/>
      <c r="H7" s="4"/>
      <c r="I7" s="4"/>
      <c r="J7" s="4"/>
      <c r="K7" s="4"/>
      <c r="M7" s="4"/>
      <c r="N7" s="4"/>
      <c r="O7" s="4"/>
      <c r="P7" s="4"/>
    </row>
    <row r="8" spans="1:16" ht="15.75" x14ac:dyDescent="0.25">
      <c r="A8" s="8" t="s">
        <v>127</v>
      </c>
      <c r="B8" s="11"/>
      <c r="C8" s="26"/>
      <c r="D8" s="12"/>
      <c r="E8" s="4"/>
      <c r="F8" s="4"/>
      <c r="G8" s="4"/>
      <c r="H8" s="4"/>
      <c r="I8" s="4"/>
      <c r="J8" s="4"/>
      <c r="K8" s="4"/>
      <c r="M8" s="4"/>
      <c r="N8" s="4"/>
      <c r="O8" s="4"/>
      <c r="P8" s="4"/>
    </row>
    <row r="9" spans="1:16" x14ac:dyDescent="0.25">
      <c r="A9" s="29" t="s">
        <v>173</v>
      </c>
      <c r="B9" s="19"/>
      <c r="C9" s="30">
        <f>SUM(C5:C8)</f>
        <v>0</v>
      </c>
      <c r="D9" s="4"/>
      <c r="E9" s="4"/>
      <c r="F9" s="4"/>
      <c r="G9" s="4"/>
      <c r="H9" s="4"/>
      <c r="I9" s="4"/>
      <c r="J9" s="4"/>
      <c r="K9" s="4"/>
      <c r="M9" s="4"/>
      <c r="N9" s="4"/>
      <c r="O9" s="4"/>
      <c r="P9" s="4"/>
    </row>
    <row r="10" spans="1:16" x14ac:dyDescent="0.25">
      <c r="A10" s="16"/>
      <c r="B10" s="4"/>
      <c r="C10" s="17"/>
      <c r="D10" s="4"/>
      <c r="E10" s="4"/>
      <c r="F10" s="4"/>
      <c r="G10" s="4"/>
      <c r="H10" s="4"/>
      <c r="I10" s="4"/>
      <c r="J10" s="4"/>
      <c r="K10" s="4"/>
      <c r="M10" s="4"/>
      <c r="N10" s="4"/>
      <c r="O10" s="4"/>
      <c r="P10" s="4"/>
    </row>
    <row r="11" spans="1:16" x14ac:dyDescent="0.25">
      <c r="A11" s="16"/>
      <c r="B11" s="4"/>
      <c r="C11" s="17"/>
      <c r="D11" s="4"/>
      <c r="E11" s="4"/>
      <c r="F11" s="4"/>
      <c r="G11" s="4"/>
      <c r="H11" s="4"/>
      <c r="I11" s="4"/>
      <c r="J11" s="4"/>
      <c r="K11" s="4"/>
      <c r="M11" s="4"/>
      <c r="N11" s="4"/>
      <c r="O11" s="4"/>
      <c r="P11" s="4"/>
    </row>
    <row r="12" spans="1:16" ht="21" x14ac:dyDescent="0.35">
      <c r="A12" s="36" t="s">
        <v>128</v>
      </c>
      <c r="B12" s="36"/>
      <c r="C12" s="36"/>
      <c r="D12" s="36"/>
      <c r="E12" s="36"/>
      <c r="F12" s="4"/>
      <c r="G12" s="4"/>
      <c r="H12" s="4"/>
      <c r="I12" s="4"/>
      <c r="J12" s="4"/>
      <c r="K12" s="4"/>
      <c r="M12" s="4"/>
      <c r="N12" s="4"/>
      <c r="O12" s="4"/>
      <c r="P12" s="4"/>
    </row>
    <row r="13" spans="1:16" ht="15.75" x14ac:dyDescent="0.25">
      <c r="A13" s="5" t="s">
        <v>0</v>
      </c>
      <c r="B13" s="6" t="s">
        <v>171</v>
      </c>
      <c r="C13" s="6" t="s">
        <v>172</v>
      </c>
      <c r="D13" s="7" t="s">
        <v>99</v>
      </c>
      <c r="E13" s="4"/>
      <c r="F13" s="4"/>
      <c r="G13" s="4"/>
      <c r="H13" s="4"/>
      <c r="I13" s="4"/>
      <c r="J13" s="4"/>
      <c r="K13" s="4"/>
      <c r="M13" s="4"/>
      <c r="N13" s="4"/>
      <c r="O13" s="4"/>
      <c r="P13" s="4"/>
    </row>
    <row r="14" spans="1:16" x14ac:dyDescent="0.25">
      <c r="A14" s="33" t="s">
        <v>120</v>
      </c>
      <c r="B14" s="34" t="e">
        <f>SUM(#REF!)</f>
        <v>#REF!</v>
      </c>
      <c r="C14" s="35" t="e">
        <f>SUM(#REF!)</f>
        <v>#REF!</v>
      </c>
      <c r="D14" s="4"/>
      <c r="E14" s="4"/>
      <c r="F14" s="4"/>
      <c r="G14" s="4"/>
      <c r="H14" s="4"/>
      <c r="I14" s="4"/>
      <c r="J14" s="4"/>
      <c r="K14" s="4"/>
      <c r="M14" s="4"/>
      <c r="N14" s="4"/>
      <c r="O14" s="4"/>
      <c r="P14" s="4"/>
    </row>
    <row r="15" spans="1:16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M15" s="4"/>
      <c r="N15" s="4"/>
      <c r="O15" s="4"/>
      <c r="P15" s="4"/>
    </row>
    <row r="16" spans="1:16" ht="15.75" x14ac:dyDescent="0.25">
      <c r="A16" s="8" t="s">
        <v>129</v>
      </c>
      <c r="B16" s="4"/>
      <c r="C16" s="4"/>
      <c r="D16" s="4"/>
      <c r="E16" s="4"/>
      <c r="F16" s="4"/>
      <c r="G16" s="4"/>
      <c r="H16" s="4"/>
      <c r="I16" s="4"/>
      <c r="J16" s="4"/>
      <c r="K16" s="4"/>
      <c r="M16" s="4"/>
      <c r="N16" s="4"/>
      <c r="O16" s="4"/>
      <c r="P16" s="4"/>
    </row>
    <row r="17" spans="1:16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M17" s="4"/>
      <c r="N17" s="4"/>
      <c r="O17" s="4"/>
      <c r="P17" s="4"/>
    </row>
    <row r="18" spans="1:16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M18" s="4"/>
      <c r="N18" s="4"/>
      <c r="O18" s="4"/>
      <c r="P18" s="4"/>
    </row>
    <row r="19" spans="1:16" ht="21" x14ac:dyDescent="0.35">
      <c r="A19" s="37" t="s">
        <v>181</v>
      </c>
      <c r="B19" s="37"/>
      <c r="C19" s="37"/>
      <c r="D19" s="37"/>
      <c r="E19" s="37"/>
      <c r="F19" s="4"/>
      <c r="G19" s="4"/>
      <c r="H19" s="4"/>
      <c r="I19" s="4"/>
      <c r="J19" s="4"/>
      <c r="K19" s="4"/>
      <c r="M19" s="4"/>
      <c r="N19" s="4"/>
      <c r="O19" s="4"/>
      <c r="P19" s="4"/>
    </row>
    <row r="20" spans="1:16" ht="15.75" x14ac:dyDescent="0.25">
      <c r="A20" s="20" t="s">
        <v>180</v>
      </c>
      <c r="B20" s="19"/>
      <c r="C20" s="19"/>
      <c r="D20" s="19"/>
      <c r="E20" s="19"/>
      <c r="F20" s="4"/>
      <c r="G20" s="4"/>
      <c r="H20" s="4"/>
      <c r="I20" s="4"/>
      <c r="J20" s="4"/>
      <c r="K20" s="22"/>
      <c r="M20" s="4"/>
      <c r="N20" s="4"/>
      <c r="O20" s="4"/>
      <c r="P20" s="4"/>
    </row>
    <row r="21" spans="1:16" ht="15.75" x14ac:dyDescent="0.25">
      <c r="A21" s="4" t="s">
        <v>174</v>
      </c>
      <c r="B21" s="4"/>
      <c r="C21" cm="1">
        <f t="array" ref="C21">SUMPRODUCT(
 (A:A&lt;&gt;"") *
 (ISNA(MATCH(A:A, Config!B:B, 0)))
)</f>
        <v>1</v>
      </c>
      <c r="D21" s="4"/>
      <c r="E21" s="4"/>
      <c r="F21" s="4"/>
      <c r="G21" s="4"/>
      <c r="H21" s="4"/>
      <c r="I21" s="4"/>
      <c r="J21" s="4"/>
      <c r="K21" s="8"/>
      <c r="M21" s="4"/>
      <c r="N21" s="4"/>
      <c r="O21" s="4"/>
      <c r="P21" s="4"/>
    </row>
    <row r="22" spans="1:16" ht="15.75" x14ac:dyDescent="0.25">
      <c r="A22" s="4" t="s">
        <v>175</v>
      </c>
      <c r="B22" s="4"/>
      <c r="C22">
        <f>COUNTA(C5:C8)</f>
        <v>0</v>
      </c>
      <c r="D22" s="4"/>
      <c r="E22" s="4"/>
      <c r="F22" s="4"/>
      <c r="G22" s="4"/>
      <c r="H22" s="4"/>
      <c r="I22" s="4"/>
      <c r="J22" s="4"/>
      <c r="K22" s="8"/>
      <c r="M22" s="4"/>
      <c r="N22" s="4"/>
      <c r="O22" s="4"/>
      <c r="P22" s="4"/>
    </row>
    <row r="23" spans="1:16" ht="15.75" x14ac:dyDescent="0.25">
      <c r="A23" s="4" t="s">
        <v>176</v>
      </c>
      <c r="B23" s="4"/>
      <c r="C23">
        <f>SUMIF(C5:C8,"ok",B5:B8)</f>
        <v>0</v>
      </c>
      <c r="D23" s="4"/>
      <c r="E23" s="4"/>
      <c r="F23" s="4"/>
      <c r="G23" s="4"/>
      <c r="H23" s="4"/>
      <c r="I23" s="4"/>
      <c r="J23" s="4"/>
      <c r="K23" s="8"/>
      <c r="M23" s="4"/>
      <c r="N23" s="4"/>
      <c r="O23" s="4"/>
      <c r="P23" s="4"/>
    </row>
    <row r="24" spans="1:16" ht="15.75" x14ac:dyDescent="0.25">
      <c r="A24" s="4" t="s">
        <v>177</v>
      </c>
      <c r="B24" s="4"/>
      <c r="C24">
        <f>COUNT(C5:C8)</f>
        <v>0</v>
      </c>
      <c r="D24" s="4"/>
      <c r="E24" s="4"/>
      <c r="F24" s="4"/>
      <c r="G24" s="4"/>
      <c r="H24" s="4"/>
      <c r="I24" s="4"/>
      <c r="J24" s="4"/>
      <c r="K24" s="8"/>
      <c r="M24" s="4"/>
      <c r="N24" s="4"/>
      <c r="O24" s="4"/>
      <c r="P24" s="4"/>
    </row>
    <row r="25" spans="1:16" x14ac:dyDescent="0.25">
      <c r="A25" s="4" t="s">
        <v>178</v>
      </c>
      <c r="B25" s="4"/>
      <c r="C25" cm="1">
        <f t="array" ref="C25">SUMPRODUCT(ISNUMBER(C5:C8)*(B5:B8))</f>
        <v>0</v>
      </c>
      <c r="D25" s="4"/>
      <c r="E25" s="4"/>
      <c r="F25" s="4"/>
      <c r="G25" s="4"/>
      <c r="H25" s="4"/>
      <c r="I25" s="4"/>
      <c r="J25" s="4"/>
      <c r="K25" s="16"/>
      <c r="M25" s="4"/>
      <c r="N25" s="4"/>
      <c r="O25" s="4"/>
      <c r="P25" s="4"/>
    </row>
    <row r="26" spans="1:16" ht="15.75" x14ac:dyDescent="0.25">
      <c r="A26" s="4" t="s">
        <v>128</v>
      </c>
      <c r="B26" s="4"/>
      <c r="C26">
        <f>COUNTA(#REF!)</f>
        <v>1</v>
      </c>
      <c r="D26" s="4"/>
      <c r="E26" s="4"/>
      <c r="F26" s="4"/>
      <c r="G26" s="4"/>
      <c r="H26" s="4"/>
      <c r="I26" s="4"/>
      <c r="J26" s="4"/>
      <c r="K26" s="8"/>
      <c r="M26" s="4"/>
      <c r="N26" s="4"/>
      <c r="O26" s="4"/>
      <c r="P26" s="4"/>
    </row>
    <row r="27" spans="1:16" ht="15.75" x14ac:dyDescent="0.25">
      <c r="A27" s="4" t="s">
        <v>179</v>
      </c>
      <c r="B27" s="4"/>
      <c r="C27" t="e">
        <f>SUM(#REF!)</f>
        <v>#REF!</v>
      </c>
      <c r="D27" s="4"/>
      <c r="E27" s="4"/>
      <c r="F27" s="4"/>
      <c r="G27" s="4"/>
      <c r="H27" s="4"/>
      <c r="I27" s="4"/>
      <c r="J27" s="4"/>
      <c r="K27" s="8"/>
      <c r="M27" s="4"/>
      <c r="N27" s="4"/>
      <c r="O27" s="4"/>
      <c r="P27" s="4"/>
    </row>
    <row r="28" spans="1:16" x14ac:dyDescent="0.25">
      <c r="A28" s="4" t="s">
        <v>113</v>
      </c>
      <c r="B28" s="4"/>
      <c r="C28" s="41"/>
      <c r="D28" s="4"/>
      <c r="E28" s="4"/>
      <c r="F28" s="4"/>
      <c r="G28" s="4"/>
      <c r="H28" s="4"/>
      <c r="I28" s="4"/>
      <c r="J28" s="4"/>
      <c r="K28" s="4"/>
      <c r="M28" s="4"/>
      <c r="N28" s="4"/>
      <c r="O28" s="4"/>
      <c r="P28" s="4"/>
    </row>
    <row r="29" spans="1:16" x14ac:dyDescent="0.25">
      <c r="A29" s="4" t="s">
        <v>122</v>
      </c>
      <c r="B29" s="4"/>
      <c r="C29" t="e">
        <f>SUM(B:B)</f>
        <v>#REF!</v>
      </c>
      <c r="D29" s="4"/>
      <c r="E29" s="4"/>
      <c r="F29" s="4"/>
      <c r="G29" s="4"/>
      <c r="H29" s="4"/>
      <c r="I29" s="4"/>
      <c r="J29" s="4"/>
      <c r="K29" s="4"/>
      <c r="M29" s="4"/>
      <c r="N29" s="4"/>
      <c r="O29" s="4"/>
      <c r="P29" s="4"/>
    </row>
    <row r="30" spans="1:16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M30" s="4"/>
      <c r="N30" s="4"/>
      <c r="O30" s="4"/>
      <c r="P30" s="4"/>
    </row>
    <row r="31" spans="1:16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M31" s="4"/>
      <c r="N31" s="4"/>
      <c r="O31" s="4"/>
      <c r="P31" s="4"/>
    </row>
    <row r="32" spans="1:16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M32" s="4"/>
      <c r="N32" s="4"/>
      <c r="O32" s="4"/>
      <c r="P32" s="4"/>
    </row>
    <row r="33" spans="1:16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M33" s="4"/>
      <c r="N33" s="4"/>
      <c r="O33" s="4"/>
      <c r="P33" s="4"/>
    </row>
    <row r="34" spans="1:16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M34" s="4"/>
      <c r="N34" s="4"/>
      <c r="O34" s="4"/>
      <c r="P34" s="4"/>
    </row>
    <row r="35" spans="1:16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M35" s="4"/>
      <c r="N35" s="4"/>
      <c r="O35" s="4"/>
      <c r="P35" s="4"/>
    </row>
    <row r="36" spans="1:16" ht="21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21"/>
      <c r="L36" s="21"/>
      <c r="M36" s="21"/>
      <c r="N36" s="21"/>
      <c r="O36" s="21"/>
      <c r="P36" s="4"/>
    </row>
    <row r="37" spans="1:16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M37" s="4"/>
      <c r="N37" s="4"/>
      <c r="O37" s="4"/>
      <c r="P37" s="4"/>
    </row>
    <row r="38" spans="1:16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M38" s="4"/>
      <c r="N38" s="4"/>
      <c r="O38" s="4"/>
      <c r="P38" s="4"/>
    </row>
    <row r="39" spans="1:16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M39" s="4"/>
      <c r="N39" s="4"/>
      <c r="O39" s="4"/>
      <c r="P39" s="4"/>
    </row>
    <row r="40" spans="1:16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M40" s="4"/>
      <c r="N40" s="4"/>
      <c r="O40" s="4"/>
      <c r="P40" s="4"/>
    </row>
    <row r="41" spans="1:16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M41" s="4"/>
      <c r="N41" s="4"/>
      <c r="O41" s="4"/>
      <c r="P41" s="4"/>
    </row>
    <row r="42" spans="1:16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M42" s="4"/>
      <c r="N42" s="4"/>
      <c r="O42" s="4"/>
      <c r="P42" s="4"/>
    </row>
    <row r="43" spans="1:16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M43" s="4"/>
      <c r="N43" s="4"/>
      <c r="O43" s="4"/>
      <c r="P43" s="4"/>
    </row>
    <row r="44" spans="1:16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M44" s="4"/>
      <c r="N44" s="4"/>
      <c r="O44" s="4"/>
      <c r="P44" s="4"/>
    </row>
    <row r="45" spans="1:16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M45" s="4"/>
      <c r="N45" s="4"/>
      <c r="O45" s="4"/>
      <c r="P45" s="4"/>
    </row>
  </sheetData>
  <sheetProtection selectLockedCells="1"/>
  <mergeCells count="3">
    <mergeCell ref="A1:E1"/>
    <mergeCell ref="A12:E12"/>
    <mergeCell ref="A19:E19"/>
  </mergeCells>
  <pageMargins left="0.51181102362204722" right="0.51181102362204722" top="0.78740157480314965" bottom="0.78740157480314965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2</vt:i4>
      </vt:variant>
    </vt:vector>
  </HeadingPairs>
  <TitlesOfParts>
    <vt:vector size="10" baseType="lpstr">
      <vt:lpstr>Config</vt:lpstr>
      <vt:lpstr>ago 25</vt:lpstr>
      <vt:lpstr>set 25</vt:lpstr>
      <vt:lpstr>out 25</vt:lpstr>
      <vt:lpstr>nov 25</vt:lpstr>
      <vt:lpstr>dez 25</vt:lpstr>
      <vt:lpstr>jan 26</vt:lpstr>
      <vt:lpstr>fev 26</vt:lpstr>
      <vt:lpstr>'fev 26'!Titulos_de_impressao</vt:lpstr>
      <vt:lpstr>'jan 26'!Titulos_de_impressao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Steffen Gebhardt</dc:creator>
  <cp:lastModifiedBy>a7242</cp:lastModifiedBy>
  <cp:lastPrinted>2026-02-05T13:48:41Z</cp:lastPrinted>
  <dcterms:created xsi:type="dcterms:W3CDTF">2025-09-01T00:16:47Z</dcterms:created>
  <dcterms:modified xsi:type="dcterms:W3CDTF">2026-04-01T03:16:37Z</dcterms:modified>
</cp:coreProperties>
</file>